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VS CODE\MY PROJECT\CAPS_AI\exports\"/>
    </mc:Choice>
  </mc:AlternateContent>
  <xr:revisionPtr revIDLastSave="0" documentId="13_ncr:1_{C256ADBD-1C2A-4FC4-88A4-FD5E9E7CB412}" xr6:coauthVersionLast="47" xr6:coauthVersionMax="47" xr10:uidLastSave="{00000000-0000-0000-0000-000000000000}"/>
  <bookViews>
    <workbookView xWindow="-108" yWindow="-108" windowWidth="23256" windowHeight="12456" firstSheet="1" activeTab="4" xr2:uid="{00000000-000D-0000-FFFF-FFFF00000000}"/>
  </bookViews>
  <sheets>
    <sheet name="generic_format" sheetId="6" r:id="rId1"/>
    <sheet name="University_details" sheetId="7" r:id="rId2"/>
    <sheet name="FACULTY_DATA" sheetId="1" r:id="rId3"/>
    <sheet name="DEPARTMENT_DATA" sheetId="2" r:id="rId4"/>
    <sheet name="PROGRAM_DATA" sheetId="3" r:id="rId5"/>
    <sheet name="SPECIALIZATION_DATA" sheetId="5" r:id="rId6"/>
    <sheet name="rough_sheet" sheetId="4" r:id="rId7"/>
  </sheets>
  <definedNames>
    <definedName name="_xlnm._FilterDatabase" localSheetId="2" hidden="1">FACULTY_DATA!$B$1:$D$9</definedName>
    <definedName name="_xlnm._FilterDatabase" localSheetId="6" hidden="1">rough_sheet!$A$1:$I$45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3" l="1"/>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F3" i="3" a="1"/>
  <c r="F3" i="3" s="1"/>
  <c r="F4" i="3" a="1"/>
  <c r="F4" i="3" s="1"/>
  <c r="F5" i="3" a="1"/>
  <c r="F5" i="3" s="1"/>
  <c r="F6" i="3" a="1"/>
  <c r="F6" i="3" s="1"/>
  <c r="F7" i="3" a="1"/>
  <c r="F7" i="3" s="1"/>
  <c r="F8" i="3" a="1"/>
  <c r="F8" i="3" s="1"/>
  <c r="F9" i="3" a="1"/>
  <c r="F9" i="3" s="1"/>
  <c r="F10" i="3" a="1"/>
  <c r="F10" i="3" s="1"/>
  <c r="F11" i="3" a="1"/>
  <c r="F11" i="3" s="1"/>
  <c r="F12" i="3" a="1"/>
  <c r="F12" i="3" s="1"/>
  <c r="F13" i="3" a="1"/>
  <c r="F13" i="3" s="1"/>
  <c r="F14" i="3" a="1"/>
  <c r="F14" i="3" s="1"/>
  <c r="F15" i="3" a="1"/>
  <c r="F15" i="3" s="1"/>
  <c r="F16" i="3" a="1"/>
  <c r="F16" i="3" s="1"/>
  <c r="F17" i="3" a="1"/>
  <c r="F17" i="3" s="1"/>
  <c r="F18" i="3" a="1"/>
  <c r="F18" i="3" s="1"/>
  <c r="F19" i="3" a="1"/>
  <c r="F19" i="3" s="1"/>
  <c r="F20" i="3" a="1"/>
  <c r="F20" i="3" s="1"/>
  <c r="F21" i="3" a="1"/>
  <c r="F21" i="3" s="1"/>
  <c r="F22" i="3" a="1"/>
  <c r="F22" i="3" s="1"/>
  <c r="F23" i="3" a="1"/>
  <c r="F23" i="3" s="1"/>
  <c r="F24" i="3" a="1"/>
  <c r="F24" i="3" s="1"/>
  <c r="F25" i="3" a="1"/>
  <c r="F25" i="3" s="1"/>
  <c r="F26" i="3" a="1"/>
  <c r="F26" i="3" s="1"/>
  <c r="F27" i="3" a="1"/>
  <c r="F27" i="3" s="1"/>
  <c r="F28" i="3" a="1"/>
  <c r="F28" i="3" s="1"/>
  <c r="F29" i="3" a="1"/>
  <c r="F29" i="3"/>
  <c r="F30" i="3" a="1"/>
  <c r="F30" i="3"/>
  <c r="F31" i="3" a="1"/>
  <c r="F31" i="3"/>
  <c r="F32" i="3" a="1"/>
  <c r="F32" i="3" s="1"/>
  <c r="F33" i="3" a="1"/>
  <c r="F33" i="3" s="1"/>
  <c r="F34" i="3" a="1"/>
  <c r="F34" i="3" s="1"/>
  <c r="F35" i="3" a="1"/>
  <c r="F35" i="3" s="1"/>
  <c r="F36" i="3" a="1"/>
  <c r="F36" i="3" s="1"/>
  <c r="F37" i="3" a="1"/>
  <c r="F37" i="3" s="1"/>
  <c r="F38" i="3" a="1"/>
  <c r="F38" i="3" s="1"/>
  <c r="F39" i="3" a="1"/>
  <c r="F39" i="3" s="1"/>
  <c r="F40" i="3" a="1"/>
  <c r="F40" i="3" s="1"/>
  <c r="F41" i="3" a="1"/>
  <c r="F41" i="3" s="1"/>
  <c r="F42" i="3" a="1"/>
  <c r="F42" i="3" s="1"/>
  <c r="F43" i="3" a="1"/>
  <c r="F43" i="3" s="1"/>
  <c r="F44" i="3" a="1"/>
  <c r="F44" i="3" s="1"/>
  <c r="F45" i="3" a="1"/>
  <c r="F45" i="3" s="1"/>
  <c r="F2" i="3" a="1"/>
  <c r="F2" i="3" s="1"/>
  <c r="G2" i="3" s="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2" i="5"/>
  <c r="C4" i="1" a="1"/>
  <c r="C4" i="1" s="1"/>
  <c r="B5" i="2" s="1"/>
  <c r="C5" i="2" s="1"/>
  <c r="C3" i="1" a="1"/>
  <c r="C3" i="1" s="1"/>
  <c r="C5" i="1" a="1"/>
  <c r="C5" i="1" s="1"/>
  <c r="C6" i="1" a="1"/>
  <c r="C6" i="1" s="1"/>
  <c r="B15" i="2" s="1"/>
  <c r="C15" i="2" s="1"/>
  <c r="C7" i="1" a="1"/>
  <c r="C7" i="1" s="1"/>
  <c r="B16" i="2" s="1"/>
  <c r="C16" i="2" s="1"/>
  <c r="C8" i="1" a="1"/>
  <c r="C8" i="1" s="1"/>
  <c r="B17" i="2" s="1"/>
  <c r="C17" i="2" s="1"/>
  <c r="C9" i="1" a="1"/>
  <c r="C9" i="1" s="1"/>
  <c r="C2" i="1" a="1"/>
  <c r="C2" i="1" s="1"/>
  <c r="B2" i="2" s="1"/>
  <c r="C2" i="2" s="1"/>
  <c r="A6" i="3" l="1"/>
  <c r="A5" i="3"/>
  <c r="B3" i="2"/>
  <c r="C3" i="2" s="1"/>
  <c r="B4" i="2"/>
  <c r="C4" i="2" s="1"/>
  <c r="B8" i="2"/>
  <c r="C8" i="2" s="1"/>
  <c r="A14" i="3" s="1"/>
  <c r="B12" i="2"/>
  <c r="C12" i="2" s="1"/>
  <c r="B11" i="2"/>
  <c r="C11" i="2" s="1"/>
  <c r="B6" i="2"/>
  <c r="C6" i="2" s="1"/>
  <c r="B13" i="2"/>
  <c r="C13" i="2" s="1"/>
  <c r="B10" i="2"/>
  <c r="C10" i="2" s="1"/>
  <c r="B14" i="2"/>
  <c r="C14" i="2" s="1"/>
  <c r="A24" i="3" s="1"/>
  <c r="B7" i="2"/>
  <c r="C7" i="2" s="1"/>
  <c r="B9" i="2"/>
  <c r="C9" i="2" s="1"/>
  <c r="A27" i="3"/>
  <c r="A25" i="3"/>
  <c r="A26" i="3"/>
  <c r="A28" i="3"/>
  <c r="A33" i="3"/>
  <c r="C29" i="5"/>
  <c r="C25" i="5"/>
  <c r="C32" i="5"/>
  <c r="C28" i="5"/>
  <c r="A28" i="5" s="1"/>
  <c r="B28" i="5" s="1"/>
  <c r="H28" i="5" s="1"/>
  <c r="C23" i="5"/>
  <c r="A23" i="5" s="1"/>
  <c r="B23" i="5" s="1"/>
  <c r="H23" i="5" s="1"/>
  <c r="A29" i="3"/>
  <c r="A32" i="3"/>
  <c r="C31" i="5"/>
  <c r="C27" i="5"/>
  <c r="A31" i="3"/>
  <c r="C30" i="5"/>
  <c r="C26" i="5"/>
  <c r="A26" i="5" s="1"/>
  <c r="B26" i="5" s="1"/>
  <c r="H26" i="5" s="1"/>
  <c r="A30" i="3"/>
  <c r="C24" i="5"/>
  <c r="A24" i="5" s="1"/>
  <c r="B24" i="5" s="1"/>
  <c r="H24" i="5" s="1"/>
  <c r="A35" i="3"/>
  <c r="A34" i="3"/>
  <c r="B21" i="2"/>
  <c r="C21" i="2" s="1"/>
  <c r="A41" i="3" s="1"/>
  <c r="B24" i="2"/>
  <c r="C24" i="2" s="1"/>
  <c r="A45" i="3" s="1"/>
  <c r="B19" i="2"/>
  <c r="C19" i="2" s="1"/>
  <c r="B18" i="2"/>
  <c r="C18" i="2" s="1"/>
  <c r="B20" i="2"/>
  <c r="C20" i="2" s="1"/>
  <c r="A40" i="3" s="1"/>
  <c r="B23" i="2"/>
  <c r="C23" i="2" s="1"/>
  <c r="B22" i="2"/>
  <c r="C22" i="2" s="1"/>
  <c r="A42" i="3" s="1"/>
  <c r="E3" i="4"/>
  <c r="B3" i="4" s="1"/>
  <c r="G3" i="4" s="1"/>
  <c r="A40" i="4"/>
  <c r="C40" i="4" s="1"/>
  <c r="A37" i="4"/>
  <c r="C37" i="4" s="1"/>
  <c r="A32" i="4"/>
  <c r="C32" i="4" s="1"/>
  <c r="A27" i="4"/>
  <c r="C27" i="4" s="1"/>
  <c r="A15" i="4"/>
  <c r="C15" i="4" s="1"/>
  <c r="A11" i="4"/>
  <c r="C11" i="4" s="1"/>
  <c r="A4" i="4"/>
  <c r="C4" i="4" s="1"/>
  <c r="A2" i="4"/>
  <c r="C2" i="4" s="1"/>
  <c r="A2" i="3"/>
  <c r="E34" i="4"/>
  <c r="B34" i="4" s="1"/>
  <c r="G34" i="4" s="1"/>
  <c r="E29" i="4"/>
  <c r="B29" i="4" s="1"/>
  <c r="G29" i="4" s="1"/>
  <c r="E24" i="4"/>
  <c r="B24" i="4" s="1"/>
  <c r="G24" i="4" s="1"/>
  <c r="E17" i="4"/>
  <c r="B17" i="4" s="1"/>
  <c r="G17" i="4" s="1"/>
  <c r="A21" i="4"/>
  <c r="C21" i="4" s="1"/>
  <c r="A13" i="4"/>
  <c r="C13" i="4" s="1"/>
  <c r="A6" i="4"/>
  <c r="C6" i="4" s="1"/>
  <c r="A3" i="4"/>
  <c r="C3" i="4" s="1"/>
  <c r="E9" i="4"/>
  <c r="B9" i="4" s="1"/>
  <c r="G9" i="4" s="1"/>
  <c r="A41" i="4"/>
  <c r="C41" i="4" s="1"/>
  <c r="A36" i="4"/>
  <c r="C36" i="4" s="1"/>
  <c r="A31" i="4"/>
  <c r="C31" i="4" s="1"/>
  <c r="A20" i="4"/>
  <c r="C20" i="4" s="1"/>
  <c r="A17" i="4"/>
  <c r="C17" i="4" s="1"/>
  <c r="A8" i="4"/>
  <c r="C8" i="4" s="1"/>
  <c r="C36" i="5"/>
  <c r="A36" i="5" s="1"/>
  <c r="B36" i="5" s="1"/>
  <c r="H36" i="5" s="1"/>
  <c r="C35" i="5"/>
  <c r="A35" i="5" s="1"/>
  <c r="B35" i="5" s="1"/>
  <c r="H35" i="5" s="1"/>
  <c r="C34" i="5"/>
  <c r="A34" i="5" s="1"/>
  <c r="B34" i="5" s="1"/>
  <c r="H34" i="5" s="1"/>
  <c r="E4" i="4"/>
  <c r="B4" i="4" s="1"/>
  <c r="G4" i="4" s="1"/>
  <c r="A44" i="4"/>
  <c r="C44" i="4" s="1"/>
  <c r="E2" i="4"/>
  <c r="B2" i="4" s="1"/>
  <c r="G2" i="4" s="1"/>
  <c r="C33" i="5"/>
  <c r="A33" i="5" s="1"/>
  <c r="B33" i="5" s="1"/>
  <c r="H33" i="5" s="1"/>
  <c r="A20" i="3" l="1"/>
  <c r="C17" i="5"/>
  <c r="A17" i="5" s="1"/>
  <c r="B17" i="5" s="1"/>
  <c r="H17" i="5" s="1"/>
  <c r="C16" i="5"/>
  <c r="A16" i="5" s="1"/>
  <c r="B16" i="5" s="1"/>
  <c r="H16" i="5" s="1"/>
  <c r="C15" i="5"/>
  <c r="A15" i="5" s="1"/>
  <c r="B15" i="5" s="1"/>
  <c r="H15" i="5" s="1"/>
  <c r="A21" i="3"/>
  <c r="C12" i="5"/>
  <c r="A12" i="5" s="1"/>
  <c r="B12" i="5" s="1"/>
  <c r="H12" i="5" s="1"/>
  <c r="C10" i="5"/>
  <c r="A10" i="5" s="1"/>
  <c r="B10" i="5" s="1"/>
  <c r="H10" i="5" s="1"/>
  <c r="A18" i="3"/>
  <c r="C14" i="5"/>
  <c r="A14" i="5" s="1"/>
  <c r="B14" i="5" s="1"/>
  <c r="H14" i="5" s="1"/>
  <c r="C11" i="5"/>
  <c r="A11" i="5" s="1"/>
  <c r="B11" i="5" s="1"/>
  <c r="H11" i="5" s="1"/>
  <c r="C13" i="5"/>
  <c r="A13" i="5" s="1"/>
  <c r="B13" i="5" s="1"/>
  <c r="H13" i="5" s="1"/>
  <c r="A19" i="3"/>
  <c r="A8" i="3"/>
  <c r="C4" i="5"/>
  <c r="A4" i="5" s="1"/>
  <c r="B4" i="5" s="1"/>
  <c r="H4" i="5" s="1"/>
  <c r="A11" i="3"/>
  <c r="C3" i="5"/>
  <c r="A3" i="5" s="1"/>
  <c r="B3" i="5" s="1"/>
  <c r="H3" i="5" s="1"/>
  <c r="A7" i="3"/>
  <c r="C2" i="5"/>
  <c r="A2" i="5" s="1"/>
  <c r="B2" i="5" s="1"/>
  <c r="H2" i="5" s="1"/>
  <c r="A9" i="3"/>
  <c r="A10" i="3"/>
  <c r="C22" i="5"/>
  <c r="A22" i="5" s="1"/>
  <c r="B22" i="5" s="1"/>
  <c r="H22" i="5" s="1"/>
  <c r="C20" i="5"/>
  <c r="A20" i="5" s="1"/>
  <c r="B20" i="5" s="1"/>
  <c r="H20" i="5" s="1"/>
  <c r="A23" i="3"/>
  <c r="A22" i="3"/>
  <c r="C21" i="5"/>
  <c r="A21" i="5" s="1"/>
  <c r="B21" i="5" s="1"/>
  <c r="H21" i="5" s="1"/>
  <c r="C19" i="5"/>
  <c r="A19" i="5" s="1"/>
  <c r="B19" i="5" s="1"/>
  <c r="H19" i="5" s="1"/>
  <c r="C18" i="5"/>
  <c r="A18" i="5" s="1"/>
  <c r="B18" i="5" s="1"/>
  <c r="H18" i="5" s="1"/>
  <c r="A16" i="3"/>
  <c r="A17" i="3"/>
  <c r="C9" i="5"/>
  <c r="A9" i="5" s="1"/>
  <c r="B9" i="5" s="1"/>
  <c r="H9" i="5" s="1"/>
  <c r="C7" i="5"/>
  <c r="A7" i="5" s="1"/>
  <c r="B7" i="5" s="1"/>
  <c r="H7" i="5" s="1"/>
  <c r="C8" i="5"/>
  <c r="A8" i="5" s="1"/>
  <c r="B8" i="5" s="1"/>
  <c r="H8" i="5" s="1"/>
  <c r="C6" i="5"/>
  <c r="A6" i="5" s="1"/>
  <c r="B6" i="5" s="1"/>
  <c r="H6" i="5" s="1"/>
  <c r="A13" i="3"/>
  <c r="A12" i="3"/>
  <c r="A15" i="3"/>
  <c r="C5" i="5"/>
  <c r="A5" i="5" s="1"/>
  <c r="B5" i="5" s="1"/>
  <c r="H5" i="5" s="1"/>
  <c r="A39" i="3"/>
  <c r="A38" i="3"/>
  <c r="A36" i="3"/>
  <c r="A37" i="3"/>
  <c r="A44" i="3"/>
  <c r="A43" i="3"/>
  <c r="A29" i="5"/>
  <c r="B29" i="5" s="1"/>
  <c r="H29" i="5" s="1"/>
  <c r="A25" i="5"/>
  <c r="B25" i="5" s="1"/>
  <c r="H25" i="5" s="1"/>
  <c r="A32" i="5"/>
  <c r="B32" i="5" s="1"/>
  <c r="H32" i="5" s="1"/>
  <c r="A31" i="5"/>
  <c r="B31" i="5" s="1"/>
  <c r="H31" i="5" s="1"/>
  <c r="A27" i="5"/>
  <c r="B27" i="5" s="1"/>
  <c r="H27" i="5" s="1"/>
  <c r="A30" i="5"/>
  <c r="B30" i="5" s="1"/>
  <c r="H30" i="5" s="1"/>
  <c r="A3" i="3"/>
  <c r="E20" i="4"/>
  <c r="B20" i="4" s="1"/>
  <c r="G20" i="4" s="1"/>
  <c r="A33" i="4"/>
  <c r="C33" i="4" s="1"/>
  <c r="A28" i="4"/>
  <c r="C28" i="4" s="1"/>
  <c r="E11" i="4"/>
  <c r="B11" i="4" s="1"/>
  <c r="G11" i="4" s="1"/>
  <c r="E14" i="4"/>
  <c r="B14" i="4" s="1"/>
  <c r="G14" i="4" s="1"/>
  <c r="E10" i="4"/>
  <c r="B10" i="4" s="1"/>
  <c r="G10" i="4" s="1"/>
  <c r="E23" i="4"/>
  <c r="B23" i="4" s="1"/>
  <c r="G23" i="4" s="1"/>
  <c r="E33" i="4"/>
  <c r="B33" i="4" s="1"/>
  <c r="G33" i="4" s="1"/>
  <c r="E18" i="4"/>
  <c r="B18" i="4" s="1"/>
  <c r="G18" i="4" s="1"/>
  <c r="E12" i="4"/>
  <c r="B12" i="4" s="1"/>
  <c r="G12" i="4" s="1"/>
  <c r="E7" i="4"/>
  <c r="B7" i="4" s="1"/>
  <c r="G7" i="4" s="1"/>
  <c r="E41" i="4"/>
  <c r="B41" i="4" s="1"/>
  <c r="G41" i="4" s="1"/>
  <c r="E45" i="4"/>
  <c r="B45" i="4" s="1"/>
  <c r="G45" i="4" s="1"/>
  <c r="E39" i="4"/>
  <c r="B39" i="4" s="1"/>
  <c r="G39" i="4" s="1"/>
  <c r="E6" i="4"/>
  <c r="B6" i="4" s="1"/>
  <c r="G6" i="4" s="1"/>
  <c r="A45" i="4"/>
  <c r="C45" i="4" s="1"/>
  <c r="A12" i="4"/>
  <c r="C12" i="4" s="1"/>
  <c r="A5" i="4"/>
  <c r="C5" i="4" s="1"/>
  <c r="E44" i="4"/>
  <c r="B44" i="4" s="1"/>
  <c r="G44" i="4" s="1"/>
  <c r="E38" i="4"/>
  <c r="B38" i="4" s="1"/>
  <c r="G38" i="4" s="1"/>
  <c r="E35" i="4"/>
  <c r="B35" i="4" s="1"/>
  <c r="G35" i="4" s="1"/>
  <c r="E28" i="4"/>
  <c r="B28" i="4" s="1"/>
  <c r="G28" i="4" s="1"/>
  <c r="E21" i="4"/>
  <c r="B21" i="4" s="1"/>
  <c r="G21" i="4" s="1"/>
  <c r="A38" i="4"/>
  <c r="C38" i="4" s="1"/>
  <c r="E19" i="4"/>
  <c r="B19" i="4" s="1"/>
  <c r="G19" i="4" s="1"/>
  <c r="E5" i="4"/>
  <c r="B5" i="4" s="1"/>
  <c r="G5" i="4" s="1"/>
  <c r="A42" i="4"/>
  <c r="C42" i="4" s="1"/>
  <c r="A35" i="4"/>
  <c r="C35" i="4" s="1"/>
  <c r="A4" i="3"/>
  <c r="A9" i="4"/>
  <c r="C9" i="4" s="1"/>
  <c r="A25" i="4"/>
  <c r="C25" i="4" s="1"/>
  <c r="A24" i="4"/>
  <c r="C24" i="4" s="1"/>
  <c r="A26" i="4"/>
  <c r="C26" i="4" s="1"/>
  <c r="A34" i="4"/>
  <c r="C34" i="4" s="1"/>
  <c r="A23" i="4"/>
  <c r="C23" i="4" s="1"/>
  <c r="E27" i="4"/>
  <c r="B27" i="4" s="1"/>
  <c r="G27" i="4" s="1"/>
  <c r="A39" i="4"/>
  <c r="C39" i="4" s="1"/>
  <c r="A30" i="4"/>
  <c r="C30" i="4" s="1"/>
  <c r="A29" i="4"/>
  <c r="C29" i="4" s="1"/>
  <c r="E43" i="4"/>
  <c r="B43" i="4" s="1"/>
  <c r="G43" i="4" s="1"/>
  <c r="A22" i="4"/>
  <c r="C22" i="4" s="1"/>
  <c r="A14" i="4"/>
  <c r="C14" i="4" s="1"/>
  <c r="A18" i="4"/>
  <c r="C18" i="4" s="1"/>
  <c r="A10" i="4"/>
  <c r="C10" i="4" s="1"/>
  <c r="E30" i="4"/>
  <c r="B30" i="4" s="1"/>
  <c r="G30" i="4" s="1"/>
  <c r="E36" i="4"/>
  <c r="B36" i="4" s="1"/>
  <c r="G36" i="4" s="1"/>
  <c r="E15" i="4"/>
  <c r="B15" i="4" s="1"/>
  <c r="G15" i="4" s="1"/>
  <c r="E13" i="4"/>
  <c r="B13" i="4" s="1"/>
  <c r="G13" i="4" s="1"/>
  <c r="E8" i="4"/>
  <c r="B8" i="4" s="1"/>
  <c r="G8" i="4" s="1"/>
  <c r="E37" i="4"/>
  <c r="B37" i="4" s="1"/>
  <c r="G37" i="4" s="1"/>
  <c r="A16" i="4"/>
  <c r="C16" i="4" s="1"/>
  <c r="E32" i="4"/>
  <c r="B32" i="4" s="1"/>
  <c r="G32" i="4" s="1"/>
  <c r="E42" i="4"/>
  <c r="B42" i="4" s="1"/>
  <c r="G42" i="4" s="1"/>
  <c r="A7" i="4"/>
  <c r="C7" i="4" s="1"/>
  <c r="E40" i="4"/>
  <c r="B40" i="4" s="1"/>
  <c r="G40" i="4" s="1"/>
  <c r="A19" i="4"/>
  <c r="C19" i="4" s="1"/>
  <c r="E26" i="4"/>
  <c r="B26" i="4" s="1"/>
  <c r="G26" i="4" s="1"/>
  <c r="E25" i="4"/>
  <c r="B25" i="4" s="1"/>
  <c r="G25" i="4" s="1"/>
  <c r="E22" i="4"/>
  <c r="B22" i="4" s="1"/>
  <c r="G22" i="4" s="1"/>
  <c r="E31" i="4"/>
  <c r="B31" i="4" s="1"/>
  <c r="G31" i="4" s="1"/>
  <c r="A43" i="4"/>
  <c r="C43" i="4" s="1"/>
  <c r="E16" i="4"/>
  <c r="B16" i="4" s="1"/>
  <c r="G16"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<sst xmlns="http://schemas.openxmlformats.org/spreadsheetml/2006/main" count="878" uniqueCount="412">
  <si>
    <t>faculty_name</t>
  </si>
  <si>
    <t>Faculty of Engineering</t>
  </si>
  <si>
    <t>Faculty of Arts, Humanities &amp; Social Sciences</t>
  </si>
  <si>
    <t>Faculty of Pharmacy</t>
  </si>
  <si>
    <t>Faculty of Management</t>
  </si>
  <si>
    <t>Faculty of Law</t>
  </si>
  <si>
    <t>Faculty of Commerce</t>
  </si>
  <si>
    <t>Faculty of Science</t>
  </si>
  <si>
    <t>Faculty of Allied Health Sciences</t>
  </si>
  <si>
    <t>faculty_id</t>
  </si>
  <si>
    <t>Department of Commerce</t>
  </si>
  <si>
    <t>Department of Journalism &amp; Mass Communication</t>
  </si>
  <si>
    <t>Department of English</t>
  </si>
  <si>
    <t>Department of Computer Science Engineering</t>
  </si>
  <si>
    <t>Department of Information Technology</t>
  </si>
  <si>
    <t>Department of Robotics &amp; Automation</t>
  </si>
  <si>
    <t>Department of Automobile Engineering</t>
  </si>
  <si>
    <t>Department of Civil Engineering</t>
  </si>
  <si>
    <t>Department of Electronics &amp; Communication Engineering</t>
  </si>
  <si>
    <t>Department of Electrical Engineering</t>
  </si>
  <si>
    <t>Department of Mechanical Engineering</t>
  </si>
  <si>
    <t>Department of Nanotechnology</t>
  </si>
  <si>
    <t>department_id</t>
  </si>
  <si>
    <t>department_name</t>
  </si>
  <si>
    <t>FAC-AHS</t>
  </si>
  <si>
    <t>FAC-AHSS</t>
  </si>
  <si>
    <t>FAC-COM</t>
  </si>
  <si>
    <t>FAC-ENG</t>
  </si>
  <si>
    <t>FAC-LAW</t>
  </si>
  <si>
    <t>FAC-MGT</t>
  </si>
  <si>
    <t>FAC-PHR</t>
  </si>
  <si>
    <t>FAC-SCI</t>
  </si>
  <si>
    <t>faculty_code</t>
  </si>
  <si>
    <t>Department</t>
  </si>
  <si>
    <t>DEP-ENG-CSE</t>
  </si>
  <si>
    <t>Information Technology</t>
  </si>
  <si>
    <t>DEP-ENG-IT</t>
  </si>
  <si>
    <t>DEP-ENG-RA</t>
  </si>
  <si>
    <t>DEP-ENG-AE</t>
  </si>
  <si>
    <t>DEP-ENG-CE</t>
  </si>
  <si>
    <t>DEP-ENG-ECE</t>
  </si>
  <si>
    <t>DEP-ENG-EE</t>
  </si>
  <si>
    <t>DEP-ENG-ME</t>
  </si>
  <si>
    <t>DEP-ENG-NT</t>
  </si>
  <si>
    <t>COM</t>
  </si>
  <si>
    <t>ENG</t>
  </si>
  <si>
    <t>JMC</t>
  </si>
  <si>
    <t>CSE</t>
  </si>
  <si>
    <t>IT</t>
  </si>
  <si>
    <t>RA</t>
  </si>
  <si>
    <t>AE</t>
  </si>
  <si>
    <t>CE</t>
  </si>
  <si>
    <t>ECE</t>
  </si>
  <si>
    <t>EE</t>
  </si>
  <si>
    <t>ME</t>
  </si>
  <si>
    <t>NT</t>
  </si>
  <si>
    <t>Department of Legal Studies</t>
  </si>
  <si>
    <t>LS</t>
  </si>
  <si>
    <t>Department of Business Administration</t>
  </si>
  <si>
    <t>BA</t>
  </si>
  <si>
    <t>Department of Pharmacy</t>
  </si>
  <si>
    <t>PH</t>
  </si>
  <si>
    <t>Department of Agriculture</t>
  </si>
  <si>
    <t>Department of Forensic Science</t>
  </si>
  <si>
    <t>Department of Biotechnology</t>
  </si>
  <si>
    <t>Department of Computer Science</t>
  </si>
  <si>
    <t>Department of Physics</t>
  </si>
  <si>
    <t>Department of Chemistry</t>
  </si>
  <si>
    <t>Department of Mathematics</t>
  </si>
  <si>
    <t>AG</t>
  </si>
  <si>
    <t>FS</t>
  </si>
  <si>
    <t>BT</t>
  </si>
  <si>
    <t>PHY</t>
  </si>
  <si>
    <t>CH</t>
  </si>
  <si>
    <t>MATH</t>
  </si>
  <si>
    <t>BCA</t>
  </si>
  <si>
    <t>MCA</t>
  </si>
  <si>
    <t>BJMC</t>
  </si>
  <si>
    <t>BBA</t>
  </si>
  <si>
    <t>MBA</t>
  </si>
  <si>
    <t>LLM</t>
  </si>
  <si>
    <t>Department of Health Sciences</t>
  </si>
  <si>
    <t>HS</t>
  </si>
  <si>
    <t>Department_id</t>
  </si>
  <si>
    <t>Program_id</t>
  </si>
  <si>
    <t>Department_name</t>
  </si>
  <si>
    <t>Program_code</t>
  </si>
  <si>
    <t>BSC</t>
  </si>
  <si>
    <t>BCOM</t>
  </si>
  <si>
    <t>BPHARM</t>
  </si>
  <si>
    <t>Bachelor of Science</t>
  </si>
  <si>
    <t>Bachelor of Journalism and Mass Communication</t>
  </si>
  <si>
    <t>Master of Arts in English</t>
  </si>
  <si>
    <t>Bachelor of Commerce</t>
  </si>
  <si>
    <t>Bachelor of Commerce in Global Finance</t>
  </si>
  <si>
    <t>Bachelor of Technology in Computer Science Engineering</t>
  </si>
  <si>
    <t>Integrated Bachelor and Master of Technology in Computer Science Engineering</t>
  </si>
  <si>
    <t>Master of Technology in Computer Science Engineering</t>
  </si>
  <si>
    <t>Bachelor of Computer Applications</t>
  </si>
  <si>
    <t>Master of Computer Applications</t>
  </si>
  <si>
    <t>Bachelor of Technology in Information Technology</t>
  </si>
  <si>
    <t>Master of Technology in Information Technology</t>
  </si>
  <si>
    <t>Bachelor of Technology in Robotics and Automation</t>
  </si>
  <si>
    <t>Bachelor of Technology in Automobile Engineering</t>
  </si>
  <si>
    <t>Bachelor of Technology in Civil Engineering</t>
  </si>
  <si>
    <t>Master of Technology in Civil Engineering</t>
  </si>
  <si>
    <t>Bachelor of Technology in Electronics and Communication Engineering</t>
  </si>
  <si>
    <t>Master of Technology in Electronics and Communication Engineering</t>
  </si>
  <si>
    <t>Bachelor of Technology in Electrical Engineering</t>
  </si>
  <si>
    <t>Master of Technology in Electrical Engineering</t>
  </si>
  <si>
    <t>Bachelor of Technology in Mechanical Engineering</t>
  </si>
  <si>
    <t>Master of Technology in Mechanical Engineering</t>
  </si>
  <si>
    <t>Master of Technology in Nanotechnology</t>
  </si>
  <si>
    <t>Bachelor of Arts and Bachelor of Laws (Honours)</t>
  </si>
  <si>
    <t>Bachelor of Business Administration and Bachelor of Laws (Honours)</t>
  </si>
  <si>
    <t>Bachelor of Laws (Honours)</t>
  </si>
  <si>
    <t>Master of Laws</t>
  </si>
  <si>
    <t>Bachelor of Business Administration</t>
  </si>
  <si>
    <t>Bachelor of Business Administration in Business Analytics</t>
  </si>
  <si>
    <t>Master of Business Administration</t>
  </si>
  <si>
    <t>Master of Business Administration in Global Business</t>
  </si>
  <si>
    <t>Master of Business Administration in Business Analytics</t>
  </si>
  <si>
    <t>Bachelor of Pharmacy</t>
  </si>
  <si>
    <t>Master of Pharmacy in Pharmaceutics</t>
  </si>
  <si>
    <t>Bachelor of Science in Agriculture</t>
  </si>
  <si>
    <t>Master of Science in Agriculture (Agronomy)</t>
  </si>
  <si>
    <t>Bachelor of Science in Forensic Science</t>
  </si>
  <si>
    <t>Master of Science in Forensic Science</t>
  </si>
  <si>
    <t>Bachelor of Science in Biotechnology</t>
  </si>
  <si>
    <t>Bachelor of Science in Computer Science</t>
  </si>
  <si>
    <t>Bachelor of Science in Physics</t>
  </si>
  <si>
    <t>Bachelor of Science in Chemistry</t>
  </si>
  <si>
    <t>Master of Science in Chemistry (Research)</t>
  </si>
  <si>
    <t>Master of Science in Mathematics</t>
  </si>
  <si>
    <t>Program_name</t>
  </si>
  <si>
    <t>MA-ENG</t>
  </si>
  <si>
    <t>BCOM-GF</t>
  </si>
  <si>
    <t>BTECH-CSE</t>
  </si>
  <si>
    <t>INT-CSE</t>
  </si>
  <si>
    <t>MTECH-CSE</t>
  </si>
  <si>
    <t>BTECH-IT</t>
  </si>
  <si>
    <t>MTECH-IT</t>
  </si>
  <si>
    <t>BTECH-RA</t>
  </si>
  <si>
    <t>BTECH-AE</t>
  </si>
  <si>
    <t>BTECH-CE</t>
  </si>
  <si>
    <t>MTECH-CE</t>
  </si>
  <si>
    <t>BTECH-ECE</t>
  </si>
  <si>
    <t>MTECH-ECE</t>
  </si>
  <si>
    <t>BTECH-EE</t>
  </si>
  <si>
    <t>MTECH-EE</t>
  </si>
  <si>
    <t>BTECH-ME</t>
  </si>
  <si>
    <t>MTECH-ME</t>
  </si>
  <si>
    <t>MTECH-NT</t>
  </si>
  <si>
    <t>BA-LLB</t>
  </si>
  <si>
    <t>BBA-LLB</t>
  </si>
  <si>
    <t>LLB</t>
  </si>
  <si>
    <t>BBA-BA</t>
  </si>
  <si>
    <t>MBA-BA</t>
  </si>
  <si>
    <t>MPHARM-PH</t>
  </si>
  <si>
    <t>BSC-AG</t>
  </si>
  <si>
    <t>MSC-AG</t>
  </si>
  <si>
    <t>BSC-FS</t>
  </si>
  <si>
    <t>MSC-FS</t>
  </si>
  <si>
    <t>BSC-BT</t>
  </si>
  <si>
    <t>BSC-CS</t>
  </si>
  <si>
    <t>BSC-PHY</t>
  </si>
  <si>
    <t>BSC-CH</t>
  </si>
  <si>
    <t>MSC-MATH</t>
  </si>
  <si>
    <t>MBA-GB</t>
  </si>
  <si>
    <t>MSC-CH-R</t>
  </si>
  <si>
    <t>Program_Name</t>
  </si>
  <si>
    <t>department_code</t>
  </si>
  <si>
    <t>DEP-AHS-HS</t>
  </si>
  <si>
    <t>DEP-AHSS-JMC</t>
  </si>
  <si>
    <t>DEP-AHSS-ENG</t>
  </si>
  <si>
    <t>DEP-COM-COM</t>
  </si>
  <si>
    <t>DEP-LAW-LS</t>
  </si>
  <si>
    <t>DEP-MGT-BA</t>
  </si>
  <si>
    <t>DEP-PHR-PH</t>
  </si>
  <si>
    <t>DEP-SCI-AG</t>
  </si>
  <si>
    <t>DEP-SCI-FS</t>
  </si>
  <si>
    <t>DEP-SCI-BT</t>
  </si>
  <si>
    <t>DEP-SCI-CSE</t>
  </si>
  <si>
    <t>DEP-SCI-PHY</t>
  </si>
  <si>
    <t>DEP-SCI-CH</t>
  </si>
  <si>
    <t>DEP-SCI-MATH</t>
  </si>
  <si>
    <t>Department_code</t>
  </si>
  <si>
    <t>PRG-AHS-HS-BSC</t>
  </si>
  <si>
    <t>PRG-AHSS-JMC-BJMC</t>
  </si>
  <si>
    <t>PRG-AHSS-ENG-MA-ENG</t>
  </si>
  <si>
    <t>PRG-COM-COM-BCOM</t>
  </si>
  <si>
    <t>PRG-COM-COM-BCOM-GF</t>
  </si>
  <si>
    <t>PRG-ENG-CSE-BTECH-CSE</t>
  </si>
  <si>
    <t>PRG-ENG-CSE-MTECH-CSE</t>
  </si>
  <si>
    <t>PRG-ENG-CSE-BCA</t>
  </si>
  <si>
    <t>PRG-ENG-CSE-MCA</t>
  </si>
  <si>
    <t>PRG-ENG-IT-BTECH-IT</t>
  </si>
  <si>
    <t>PRG-ENG-IT-MTECH-IT</t>
  </si>
  <si>
    <t>PRG-ENG-RA-BTECH-RA</t>
  </si>
  <si>
    <t>PRG-ENG-AE-BTECH-AE</t>
  </si>
  <si>
    <t>PRG-ENG-CE-BTECH-CE</t>
  </si>
  <si>
    <t>PRG-ENG-CE-MTECH-CE</t>
  </si>
  <si>
    <t>PRG-ENG-ECE-BTECH-ECE</t>
  </si>
  <si>
    <t>PRG-ENG-ECE-MTECH-ECE</t>
  </si>
  <si>
    <t>PRG-ENG-EE-BTECH-EE</t>
  </si>
  <si>
    <t>PRG-ENG-EE-MTECH-EE</t>
  </si>
  <si>
    <t>PRG-ENG-ME-BTECH-ME</t>
  </si>
  <si>
    <t>PRG-ENG-ME-MTECH-ME</t>
  </si>
  <si>
    <t>PRG-ENG-NT-MTECH-NT</t>
  </si>
  <si>
    <t>PRG-LAW-LS-BA-LLB</t>
  </si>
  <si>
    <t>PRG-LAW-LS-BBA-LLB</t>
  </si>
  <si>
    <t>PRG-LAW-LS-LLB</t>
  </si>
  <si>
    <t>PRG-LAW-LS-LLM</t>
  </si>
  <si>
    <t>PRG-MGT-BA-BBA</t>
  </si>
  <si>
    <t>PRG-MGT-BA-BBA-BA</t>
  </si>
  <si>
    <t>PRG-MGT-BA-MBA</t>
  </si>
  <si>
    <t>PRG-MGT-BA-MBA-GB</t>
  </si>
  <si>
    <t>PRG-MGT-BA-MBA-BA</t>
  </si>
  <si>
    <t>PRG-PHR-PH-BPHARM</t>
  </si>
  <si>
    <t>PRG-PHR-PH-MPHARM-PH</t>
  </si>
  <si>
    <t>PRG-SCI-AG-BSC-AG</t>
  </si>
  <si>
    <t>PRG-SCI-AG-MSC-AG</t>
  </si>
  <si>
    <t>PRG-SCI-FS-BSC-FS</t>
  </si>
  <si>
    <t>PRG-SCI-FS-MSC-FS</t>
  </si>
  <si>
    <t>PRG-SCI-BT-BSC-BT</t>
  </si>
  <si>
    <t>PRG-ENG-CSE-BSC-CS</t>
  </si>
  <si>
    <t>PRG-SCI-PHY-BSC-PHY</t>
  </si>
  <si>
    <t>PRG-SCI-CH-BSC-CH</t>
  </si>
  <si>
    <t>PRG-SCI-CH-MSC-CH-R</t>
  </si>
  <si>
    <t>PRG-SCI-MATH-MSC-MATH</t>
  </si>
  <si>
    <t>PRG-ENG-CSE-INT-CSE</t>
  </si>
  <si>
    <t>Specialization</t>
  </si>
  <si>
    <t>Artificial Intelligence</t>
  </si>
  <si>
    <t>Data Science</t>
  </si>
  <si>
    <t>Computer Science &amp; Business Systems</t>
  </si>
  <si>
    <t>Electric Vehicle</t>
  </si>
  <si>
    <t>Construction Technology &amp; Management</t>
  </si>
  <si>
    <t>Structural Engineering</t>
  </si>
  <si>
    <t>Environmental Engineering</t>
  </si>
  <si>
    <t>Communication Engineering</t>
  </si>
  <si>
    <t>Computer Technology</t>
  </si>
  <si>
    <t>Microwave Engineering</t>
  </si>
  <si>
    <t>VLSI</t>
  </si>
  <si>
    <t>Power Electronics</t>
  </si>
  <si>
    <t>Power Systems</t>
  </si>
  <si>
    <t>Mechatronics</t>
  </si>
  <si>
    <t>CAD/CAM/CAE</t>
  </si>
  <si>
    <t>Industrial &amp; Production Engineering</t>
  </si>
  <si>
    <t>Energy Technology</t>
  </si>
  <si>
    <t>Finance</t>
  </si>
  <si>
    <t>Foreign Trade</t>
  </si>
  <si>
    <t>Human Resource</t>
  </si>
  <si>
    <t>Marketing Management</t>
  </si>
  <si>
    <t>Digital Marketing</t>
  </si>
  <si>
    <t>Logistics &amp; Supply Chain Management</t>
  </si>
  <si>
    <t>Anaesthesia &amp; Operation Theatre Technology</t>
  </si>
  <si>
    <t>Medical Laboratory Technology</t>
  </si>
  <si>
    <t>Cardiovascular Technology</t>
  </si>
  <si>
    <t>Respiratory Technology</t>
  </si>
  <si>
    <t>Faculty_id</t>
  </si>
  <si>
    <t>Faculty_code</t>
  </si>
  <si>
    <t>Specialization_id</t>
  </si>
  <si>
    <t>Specialization_code</t>
  </si>
  <si>
    <t>AI</t>
  </si>
  <si>
    <t>DS</t>
  </si>
  <si>
    <t>EV</t>
  </si>
  <si>
    <t>SE</t>
  </si>
  <si>
    <t>CT</t>
  </si>
  <si>
    <t>CSBS</t>
  </si>
  <si>
    <t>CTM</t>
  </si>
  <si>
    <t>PE</t>
  </si>
  <si>
    <t>PS</t>
  </si>
  <si>
    <t>MT</t>
  </si>
  <si>
    <t>CDME</t>
  </si>
  <si>
    <t>IPE</t>
  </si>
  <si>
    <t>ET</t>
  </si>
  <si>
    <t>FT</t>
  </si>
  <si>
    <t>HR</t>
  </si>
  <si>
    <t>MM</t>
  </si>
  <si>
    <t>DM</t>
  </si>
  <si>
    <t>LSCM</t>
  </si>
  <si>
    <t>AOTT</t>
  </si>
  <si>
    <t>MLT</t>
  </si>
  <si>
    <t>RT</t>
  </si>
  <si>
    <t>FIN</t>
  </si>
  <si>
    <t>Pattern</t>
  </si>
  <si>
    <t>FAC-[FAC_CODE]</t>
  </si>
  <si>
    <t>Example</t>
  </si>
  <si>
    <t>Field</t>
  </si>
  <si>
    <t>Placeholder</t>
  </si>
  <si>
    <t>FAC-[FAC]</t>
  </si>
  <si>
    <t>[FAC]</t>
  </si>
  <si>
    <r>
      <rPr>
        <b/>
        <sz val="11"/>
        <color theme="1"/>
        <rFont val="Calibri"/>
        <family val="2"/>
        <scheme val="minor"/>
      </rPr>
      <t>generic placeholders (templates)</t>
    </r>
    <r>
      <rPr>
        <sz val="11"/>
        <color theme="1"/>
        <rFont val="Calibri"/>
        <family val="2"/>
        <scheme val="minor"/>
      </rPr>
      <t xml:space="preserve"> for all IDs and codes in academic hierarchy so the format stays consistent across tables.</t>
    </r>
  </si>
  <si>
    <t>DEP-[FAC_CODE]-[DEPT_CODE]</t>
  </si>
  <si>
    <t>DEP-[FAC]-[DEPT]</t>
  </si>
  <si>
    <t>[DEPT]</t>
  </si>
  <si>
    <t>3. Program</t>
  </si>
  <si>
    <t>PRG-[FAC_CODE]-[DEPT_CODE]-[PROGRAM_CODE]</t>
  </si>
  <si>
    <t>program_id</t>
  </si>
  <si>
    <t>PRG-[FAC]-[DEPT]-[PROG]</t>
  </si>
  <si>
    <t>program_code</t>
  </si>
  <si>
    <t>[PROG]</t>
  </si>
  <si>
    <t>4. Specialization</t>
  </si>
  <si>
    <t>SPC-[FAC_CODE]-[DEPT_CODE]-[PROGRAM_CODE]-[SPEC_CODE]</t>
  </si>
  <si>
    <t>SPC-ENG-CSE-BTECH-CSE-AI</t>
  </si>
  <si>
    <t>SPC-ENG-ME-BTECH-ME-MECH</t>
  </si>
  <si>
    <t>SPC-MGT-BA-MBA-FIN</t>
  </si>
  <si>
    <t>specialization_id</t>
  </si>
  <si>
    <t>SPC-[FAC]-[DEPT]-[PROG]-[SPEC]</t>
  </si>
  <si>
    <t>specialization_code</t>
  </si>
  <si>
    <t>[SPEC]</t>
  </si>
  <si>
    <t>1. Faculty</t>
  </si>
  <si>
    <t>2. Department</t>
  </si>
  <si>
    <t>CRS-[FAC_CODE]-[DEPT_CODE]-[PROGRAM_CODE]-[COURSE_CODE]</t>
  </si>
  <si>
    <t>CRS-ENG-CSE-BTECH-CSE-DSA</t>
  </si>
  <si>
    <t>CRS-ENG-CSE-BTECH-CSE-ML</t>
  </si>
  <si>
    <t>5. Course</t>
  </si>
  <si>
    <t>CRS-[FAC]-[DEPT]-[PROGRAM]-[COURSE]</t>
  </si>
  <si>
    <t>course_id</t>
  </si>
  <si>
    <t>course_code</t>
  </si>
  <si>
    <t>6. Batch</t>
  </si>
  <si>
    <t>SEC-[FAC_CODE]-[DEPT_CODE]-[PROGRAM_CODE]-[YEAR]-[SECTION]</t>
  </si>
  <si>
    <t>SEC-ENG-CSE-BTECH-CSE-2024-A</t>
  </si>
  <si>
    <t>SEC-ENG-CSE-BTECH-CSE-2024-B</t>
  </si>
  <si>
    <t>STU-[PROGRAM_CODE]-[YEAR]-[ROLL_NO]</t>
  </si>
  <si>
    <t>STU-BTECH-CSE-2024-0001</t>
  </si>
  <si>
    <t>STU-MBA-2025-0001</t>
  </si>
  <si>
    <t>TCH-[DEPT_CODE]-[NUMBER]</t>
  </si>
  <si>
    <t>TCH-CSE-001</t>
  </si>
  <si>
    <t>TCH-ME-002</t>
  </si>
  <si>
    <t>TCH-BA-003</t>
  </si>
  <si>
    <t>batch_id</t>
  </si>
  <si>
    <t xml:space="preserve"> [YEAR]</t>
  </si>
  <si>
    <t>batch_code</t>
  </si>
  <si>
    <t xml:space="preserve"> BA-[FAC]-[DEPT]-[PROGRAM]-[YEAR]</t>
  </si>
  <si>
    <t>BA-ENG-CSE-BTECH-CSE-2024</t>
  </si>
  <si>
    <t>BA-MGT-BA-MBA-2025</t>
  </si>
  <si>
    <t>BA-[FAC_CODE]-[DEPT_CODE]-[PROGRAM_CODE]-[YEAR]</t>
  </si>
  <si>
    <t>7. Section</t>
  </si>
  <si>
    <t xml:space="preserve">section_id </t>
  </si>
  <si>
    <t>SEC-[FAC]-[DEPT]-[PROGRAM]-[YEAR]-[SECTION]</t>
  </si>
  <si>
    <t>section_code</t>
  </si>
  <si>
    <t xml:space="preserve"> [SECTION]</t>
  </si>
  <si>
    <t>8. Student</t>
  </si>
  <si>
    <t>student_id</t>
  </si>
  <si>
    <t xml:space="preserve"> STU-[PROGRAM]-[YEAR]-[ROLL]</t>
  </si>
  <si>
    <t xml:space="preserve">student_code </t>
  </si>
  <si>
    <t>[ROLL]</t>
  </si>
  <si>
    <t>9. Teacher</t>
  </si>
  <si>
    <t xml:space="preserve">teacher_id </t>
  </si>
  <si>
    <t>TCH-[DEPT]-[NO]</t>
  </si>
  <si>
    <t xml:space="preserve"> [NO]</t>
  </si>
  <si>
    <t>teacher_code</t>
  </si>
  <si>
    <t>SEM-[PROGRAM_CODE]-[SEM_NO]</t>
  </si>
  <si>
    <t>SEM-BTECH-CSE-01</t>
  </si>
  <si>
    <t>SEM-BTECH-CSE-02</t>
  </si>
  <si>
    <t>SEM-MBA-01</t>
  </si>
  <si>
    <t>ACY-[YEAR]</t>
  </si>
  <si>
    <t>ACY-2024</t>
  </si>
  <si>
    <t>ACY-2025</t>
  </si>
  <si>
    <t>academic_year_id</t>
  </si>
  <si>
    <t>academic_year_code</t>
  </si>
  <si>
    <t>[YEAR]</t>
  </si>
  <si>
    <t>CRO-[COURSE_CODE]-[BATCH]-[SEM]</t>
  </si>
  <si>
    <t>CRO-DSA-2024-01</t>
  </si>
  <si>
    <t>CRO-ML-2024-05</t>
  </si>
  <si>
    <t>course_offering_id</t>
  </si>
  <si>
    <t>CRO-[COURSE]-[BATCH]-[SEM]</t>
  </si>
  <si>
    <t>TAS-[TEACHER]-[COURSE]-[BATCH]-[SECTION]</t>
  </si>
  <si>
    <t>TAS-CSE001-DSA-2024-A</t>
  </si>
  <si>
    <t>teacher_assignment_id</t>
  </si>
  <si>
    <t>TAS-[TCH]-[COURSE]-[BATCH]-[SEC]</t>
  </si>
  <si>
    <t>ROM-[BUILDING]-[ROOM_NO]</t>
  </si>
  <si>
    <t>ROM-B1-101</t>
  </si>
  <si>
    <t>ROM-B2-204</t>
  </si>
  <si>
    <t>room_id</t>
  </si>
  <si>
    <t>ROM-[BLD]-[NO]</t>
  </si>
  <si>
    <t>room_code</t>
  </si>
  <si>
    <t>[ROOM]</t>
  </si>
  <si>
    <t>TSL-[DAY]-[PERIOD]</t>
  </si>
  <si>
    <t>TSL-MON-01</t>
  </si>
  <si>
    <t>TSL-TUE-03</t>
  </si>
  <si>
    <t>slot_id</t>
  </si>
  <si>
    <t>slot_code</t>
  </si>
  <si>
    <t>ATT-[STUDENT]-[COURSE]-[DATE]</t>
  </si>
  <si>
    <t>ATT-2024-0001-DSA-20240912</t>
  </si>
  <si>
    <t>attendance_id</t>
  </si>
  <si>
    <t>ATT-[STU]-[COURSE]-[DATE]</t>
  </si>
  <si>
    <t>EXM-[COURSE]-[SEM]-[YEAR]</t>
  </si>
  <si>
    <t>EXM-DSA-01-2024</t>
  </si>
  <si>
    <t>exam_id</t>
  </si>
  <si>
    <t>GRD-[STUDENT]-[COURSE]</t>
  </si>
  <si>
    <t>GRD-2024-0001-DSA</t>
  </si>
  <si>
    <t>grade_id</t>
  </si>
  <si>
    <t>GRD-[STU]-[COURSE]</t>
  </si>
  <si>
    <t>10.  Semester</t>
  </si>
  <si>
    <t>11. Academic Year</t>
  </si>
  <si>
    <t>12. Course Offering</t>
  </si>
  <si>
    <t>13. Teacher Assignment</t>
  </si>
  <si>
    <t>14. Classroom / Room</t>
  </si>
  <si>
    <t>15. Timetable Slot</t>
  </si>
  <si>
    <t>16. Attendance Record</t>
  </si>
  <si>
    <t>17. Exam</t>
  </si>
  <si>
    <t>18. Grade</t>
  </si>
  <si>
    <t>university_id</t>
  </si>
  <si>
    <t>university_name</t>
  </si>
  <si>
    <t>UM UNIVERSITY</t>
  </si>
  <si>
    <t>UM</t>
  </si>
  <si>
    <t>Degree Type</t>
  </si>
  <si>
    <t xml:space="preserve"> total_semesters</t>
  </si>
  <si>
    <t>duration(years)</t>
  </si>
  <si>
    <t>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</si>
</sst>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11"/>
      <name val="Calibri"/>
    </font>
    <font>
      <b/>
      <sz val="11"/>
      <name val="Calibri"/>
      <family val="2"/>
    </font>
    <font>
      <sz val="10"/>
      <color theme="1"/>
      <name val="Arial Unicode MS"/>
    </font>
    <font>
      <b/>
      <sz val="14"/>
      <color theme="1"/>
      <name val="Calibri"/>
      <family val="2"/>
      <scheme val="minor"/>
    </font>
    <font>
      <b/>
      <sz val="24"/>
      <color theme="1"/>
      <name val="Calibri"/>
      <family val="2"/>
      <scheme val="minor"/>
    </font>
    <font>
      <sz val="8"/>
      <name val="Calibri"/>
      <family val="2"/>
      <scheme val="minor"/>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43">
    <xf numFmtId="0" fontId="0" fillId="0" borderId="0" xfId="0"/>
    <xf numFmtId="0" fontId="2" fillId="0" borderId="0" xfId="0" applyFont="1"/>
    <xf numFmtId="0" fontId="3" fillId="0" borderId="0" xfId="0" applyFont="1"/>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xf numFmtId="0" fontId="1" fillId="0" borderId="0" xfId="0" applyFont="1" applyAlignment="1"/>
    <xf numFmtId="0" fontId="0" fillId="0" borderId="0" xfId="0" applyAlignment="1"/>
    <xf numFmtId="0" fontId="1" fillId="0" borderId="1" xfId="0" applyFont="1" applyBorder="1" applyAlignment="1">
      <alignment horizontal="center" vertical="center"/>
    </xf>
    <xf numFmtId="0" fontId="6" fillId="0" borderId="0" xfId="0" applyFont="1" applyAlignment="1">
      <alignment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horizontal="center" vertical="center"/>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5" fillId="0" borderId="1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1"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969E-257C-49A4-9155-E899F2793092}">
  <dimension ref="A1:K75"/>
  <sheetViews>
    <sheetView zoomScale="90" zoomScaleNormal="90" workbookViewId="0">
      <selection activeCell="G67" sqref="G67"/>
    </sheetView>
  </sheetViews>
  <sheetFormatPr defaultRowHeight="14.4"/>
  <cols>
    <col min="1" max="1" width="12.6640625" customWidth="1"/>
    <col min="2" max="2" width="57.5546875" customWidth="1"/>
    <col min="3" max="3" width="17.33203125" customWidth="1"/>
    <col min="4" max="4" width="52.33203125" customWidth="1"/>
  </cols>
  <sheetData>
    <row r="1" spans="1:11" ht="15" thickBot="1">
      <c r="A1" s="15" t="s">
        <v>292</v>
      </c>
      <c r="B1" s="16"/>
      <c r="C1" s="16"/>
      <c r="D1" s="17"/>
      <c r="E1" s="7"/>
      <c r="F1" s="7"/>
      <c r="G1" s="7"/>
      <c r="H1" s="7"/>
      <c r="I1" s="7"/>
      <c r="J1" s="7"/>
      <c r="K1" s="7"/>
    </row>
    <row r="2" spans="1:11" ht="31.2">
      <c r="A2" s="18" t="s">
        <v>311</v>
      </c>
      <c r="B2" s="19"/>
      <c r="C2" s="18" t="s">
        <v>312</v>
      </c>
      <c r="D2" s="19"/>
      <c r="E2" s="7"/>
      <c r="F2" s="7"/>
      <c r="K2" s="9"/>
    </row>
    <row r="3" spans="1:11">
      <c r="A3" s="20" t="s">
        <v>285</v>
      </c>
      <c r="B3" s="21"/>
      <c r="C3" s="20" t="s">
        <v>285</v>
      </c>
      <c r="D3" s="21"/>
      <c r="E3" s="6"/>
      <c r="F3" s="6"/>
    </row>
    <row r="4" spans="1:11">
      <c r="A4" s="22" t="s">
        <v>286</v>
      </c>
      <c r="B4" s="23"/>
      <c r="C4" s="22" t="s">
        <v>293</v>
      </c>
      <c r="D4" s="23"/>
    </row>
    <row r="5" spans="1:11">
      <c r="A5" s="20" t="s">
        <v>287</v>
      </c>
      <c r="B5" s="24" t="s">
        <v>27</v>
      </c>
      <c r="C5" s="20" t="s">
        <v>287</v>
      </c>
      <c r="D5" s="24" t="s">
        <v>34</v>
      </c>
    </row>
    <row r="6" spans="1:11">
      <c r="A6" s="20"/>
      <c r="B6" s="24" t="s">
        <v>31</v>
      </c>
      <c r="C6" s="20"/>
      <c r="D6" s="24" t="s">
        <v>183</v>
      </c>
    </row>
    <row r="7" spans="1:11">
      <c r="A7" s="20"/>
      <c r="B7" s="24" t="s">
        <v>29</v>
      </c>
      <c r="C7" s="20"/>
      <c r="D7" s="24" t="s">
        <v>177</v>
      </c>
    </row>
    <row r="8" spans="1:11">
      <c r="A8" s="20"/>
      <c r="B8" s="24" t="s">
        <v>28</v>
      </c>
      <c r="C8" s="20"/>
      <c r="D8" s="24"/>
    </row>
    <row r="9" spans="1:11" ht="28.8" customHeight="1">
      <c r="A9" s="25" t="s">
        <v>288</v>
      </c>
      <c r="B9" s="26" t="s">
        <v>289</v>
      </c>
      <c r="C9" s="25" t="s">
        <v>288</v>
      </c>
      <c r="D9" s="26" t="s">
        <v>289</v>
      </c>
    </row>
    <row r="10" spans="1:11">
      <c r="A10" s="11" t="s">
        <v>9</v>
      </c>
      <c r="B10" s="27" t="s">
        <v>290</v>
      </c>
      <c r="C10" s="11" t="s">
        <v>22</v>
      </c>
      <c r="D10" s="27" t="s">
        <v>294</v>
      </c>
    </row>
    <row r="11" spans="1:11" ht="15" thickBot="1">
      <c r="A11" s="12" t="s">
        <v>32</v>
      </c>
      <c r="B11" s="28" t="s">
        <v>291</v>
      </c>
      <c r="C11" s="12" t="s">
        <v>171</v>
      </c>
      <c r="D11" s="28" t="s">
        <v>295</v>
      </c>
    </row>
    <row r="12" spans="1:11" ht="18">
      <c r="A12" s="18" t="s">
        <v>296</v>
      </c>
      <c r="B12" s="29"/>
      <c r="C12" s="18" t="s">
        <v>302</v>
      </c>
      <c r="D12" s="19"/>
    </row>
    <row r="13" spans="1:11">
      <c r="A13" s="20" t="s">
        <v>285</v>
      </c>
      <c r="B13" s="8"/>
      <c r="C13" s="20" t="s">
        <v>285</v>
      </c>
      <c r="D13" s="21"/>
    </row>
    <row r="14" spans="1:11">
      <c r="A14" s="22" t="s">
        <v>297</v>
      </c>
      <c r="B14" s="30"/>
      <c r="C14" s="22" t="s">
        <v>303</v>
      </c>
      <c r="D14" s="23"/>
    </row>
    <row r="15" spans="1:11">
      <c r="A15" s="20" t="s">
        <v>287</v>
      </c>
      <c r="B15" s="31" t="s">
        <v>192</v>
      </c>
      <c r="C15" s="20" t="s">
        <v>287</v>
      </c>
      <c r="D15" s="24" t="s">
        <v>304</v>
      </c>
    </row>
    <row r="16" spans="1:11">
      <c r="A16" s="20"/>
      <c r="B16" s="31" t="s">
        <v>226</v>
      </c>
      <c r="C16" s="20"/>
      <c r="D16" s="24" t="s">
        <v>305</v>
      </c>
    </row>
    <row r="17" spans="1:4">
      <c r="A17" s="20"/>
      <c r="B17" s="31" t="s">
        <v>215</v>
      </c>
      <c r="C17" s="20"/>
      <c r="D17" s="24" t="s">
        <v>306</v>
      </c>
    </row>
    <row r="18" spans="1:4">
      <c r="A18" s="25" t="s">
        <v>288</v>
      </c>
      <c r="B18" s="32" t="s">
        <v>289</v>
      </c>
      <c r="C18" s="25" t="s">
        <v>288</v>
      </c>
      <c r="D18" s="26" t="s">
        <v>289</v>
      </c>
    </row>
    <row r="19" spans="1:4" ht="28.8" customHeight="1">
      <c r="A19" s="11" t="s">
        <v>298</v>
      </c>
      <c r="B19" s="33" t="s">
        <v>299</v>
      </c>
      <c r="C19" s="11" t="s">
        <v>307</v>
      </c>
      <c r="D19" s="27" t="s">
        <v>308</v>
      </c>
    </row>
    <row r="20" spans="1:4" ht="43.2" customHeight="1" thickBot="1">
      <c r="A20" s="12" t="s">
        <v>300</v>
      </c>
      <c r="B20" s="34" t="s">
        <v>301</v>
      </c>
      <c r="C20" s="12" t="s">
        <v>309</v>
      </c>
      <c r="D20" s="28" t="s">
        <v>310</v>
      </c>
    </row>
    <row r="21" spans="1:4" ht="18">
      <c r="A21" s="18" t="s">
        <v>316</v>
      </c>
      <c r="B21" s="29"/>
      <c r="C21" s="18" t="s">
        <v>320</v>
      </c>
      <c r="D21" s="19"/>
    </row>
    <row r="22" spans="1:4">
      <c r="A22" s="20" t="s">
        <v>285</v>
      </c>
      <c r="B22" s="8"/>
      <c r="C22" s="20" t="s">
        <v>285</v>
      </c>
      <c r="D22" s="21"/>
    </row>
    <row r="23" spans="1:4">
      <c r="A23" s="22" t="s">
        <v>313</v>
      </c>
      <c r="B23" s="30"/>
      <c r="C23" s="22" t="s">
        <v>337</v>
      </c>
      <c r="D23" s="23"/>
    </row>
    <row r="24" spans="1:4">
      <c r="A24" s="20" t="s">
        <v>287</v>
      </c>
      <c r="B24" s="31" t="s">
        <v>314</v>
      </c>
      <c r="C24" s="20" t="s">
        <v>287</v>
      </c>
      <c r="D24" s="14" t="s">
        <v>335</v>
      </c>
    </row>
    <row r="25" spans="1:4">
      <c r="A25" s="20"/>
      <c r="B25" s="31" t="s">
        <v>315</v>
      </c>
      <c r="C25" s="20"/>
      <c r="D25" s="14" t="s">
        <v>336</v>
      </c>
    </row>
    <row r="26" spans="1:4">
      <c r="A26" s="25" t="s">
        <v>288</v>
      </c>
      <c r="B26" s="32" t="s">
        <v>289</v>
      </c>
      <c r="C26" s="25" t="s">
        <v>288</v>
      </c>
      <c r="D26" s="26" t="s">
        <v>289</v>
      </c>
    </row>
    <row r="27" spans="1:4">
      <c r="A27" s="11" t="s">
        <v>318</v>
      </c>
      <c r="B27" s="31" t="s">
        <v>317</v>
      </c>
      <c r="C27" s="11" t="s">
        <v>331</v>
      </c>
      <c r="D27" s="24" t="s">
        <v>334</v>
      </c>
    </row>
    <row r="28" spans="1:4" ht="15" thickBot="1">
      <c r="A28" s="12" t="s">
        <v>319</v>
      </c>
      <c r="B28" s="34"/>
      <c r="C28" s="12" t="s">
        <v>333</v>
      </c>
      <c r="D28" s="28" t="s">
        <v>332</v>
      </c>
    </row>
    <row r="29" spans="1:4" ht="18">
      <c r="A29" s="18" t="s">
        <v>338</v>
      </c>
      <c r="B29" s="29"/>
      <c r="C29" s="18" t="s">
        <v>343</v>
      </c>
      <c r="D29" s="19"/>
    </row>
    <row r="30" spans="1:4">
      <c r="A30" s="20" t="s">
        <v>285</v>
      </c>
      <c r="B30" s="8"/>
      <c r="C30" s="20" t="s">
        <v>285</v>
      </c>
      <c r="D30" s="21"/>
    </row>
    <row r="31" spans="1:4">
      <c r="A31" s="22" t="s">
        <v>321</v>
      </c>
      <c r="B31" s="30"/>
      <c r="C31" s="22" t="s">
        <v>324</v>
      </c>
      <c r="D31" s="23"/>
    </row>
    <row r="32" spans="1:4">
      <c r="A32" s="20" t="s">
        <v>287</v>
      </c>
      <c r="B32" s="36" t="s">
        <v>322</v>
      </c>
      <c r="C32" s="20" t="s">
        <v>287</v>
      </c>
      <c r="D32" s="14" t="s">
        <v>325</v>
      </c>
    </row>
    <row r="33" spans="1:4">
      <c r="A33" s="20"/>
      <c r="B33" s="36" t="s">
        <v>323</v>
      </c>
      <c r="C33" s="20"/>
      <c r="D33" s="14" t="s">
        <v>326</v>
      </c>
    </row>
    <row r="34" spans="1:4">
      <c r="A34" s="25" t="s">
        <v>288</v>
      </c>
      <c r="B34" s="32" t="s">
        <v>289</v>
      </c>
      <c r="C34" s="25" t="s">
        <v>288</v>
      </c>
      <c r="D34" s="26" t="s">
        <v>289</v>
      </c>
    </row>
    <row r="35" spans="1:4">
      <c r="A35" s="35" t="s">
        <v>339</v>
      </c>
      <c r="B35" s="31" t="s">
        <v>340</v>
      </c>
      <c r="C35" s="35" t="s">
        <v>344</v>
      </c>
      <c r="D35" s="24" t="s">
        <v>345</v>
      </c>
    </row>
    <row r="36" spans="1:4" ht="15" thickBot="1">
      <c r="A36" s="13" t="s">
        <v>341</v>
      </c>
      <c r="B36" s="34" t="s">
        <v>342</v>
      </c>
      <c r="C36" s="13" t="s">
        <v>346</v>
      </c>
      <c r="D36" s="28" t="s">
        <v>347</v>
      </c>
    </row>
    <row r="37" spans="1:4" ht="18">
      <c r="A37" s="18" t="s">
        <v>348</v>
      </c>
      <c r="B37" s="29"/>
      <c r="C37" s="18" t="s">
        <v>395</v>
      </c>
      <c r="D37" s="19"/>
    </row>
    <row r="38" spans="1:4">
      <c r="A38" s="20" t="s">
        <v>285</v>
      </c>
      <c r="B38" s="8"/>
      <c r="C38" s="20" t="s">
        <v>285</v>
      </c>
      <c r="D38" s="21"/>
    </row>
    <row r="39" spans="1:4">
      <c r="A39" s="22" t="s">
        <v>327</v>
      </c>
      <c r="B39" s="30"/>
      <c r="C39" s="22" t="s">
        <v>353</v>
      </c>
      <c r="D39" s="23"/>
    </row>
    <row r="40" spans="1:4">
      <c r="A40" s="20" t="s">
        <v>287</v>
      </c>
      <c r="B40" s="36" t="s">
        <v>328</v>
      </c>
      <c r="C40" s="20" t="s">
        <v>287</v>
      </c>
      <c r="D40" s="24" t="s">
        <v>354</v>
      </c>
    </row>
    <row r="41" spans="1:4">
      <c r="A41" s="20"/>
      <c r="B41" s="36" t="s">
        <v>329</v>
      </c>
      <c r="C41" s="20"/>
      <c r="D41" s="24" t="s">
        <v>355</v>
      </c>
    </row>
    <row r="42" spans="1:4">
      <c r="A42" s="20"/>
      <c r="B42" s="36" t="s">
        <v>330</v>
      </c>
      <c r="C42" s="20"/>
      <c r="D42" s="24" t="s">
        <v>356</v>
      </c>
    </row>
    <row r="43" spans="1:4">
      <c r="A43" s="25" t="s">
        <v>288</v>
      </c>
      <c r="B43" s="32" t="s">
        <v>289</v>
      </c>
      <c r="C43" s="25" t="s">
        <v>288</v>
      </c>
      <c r="D43" s="26" t="s">
        <v>289</v>
      </c>
    </row>
    <row r="44" spans="1:4">
      <c r="A44" s="35" t="s">
        <v>349</v>
      </c>
      <c r="B44" s="36" t="s">
        <v>350</v>
      </c>
      <c r="C44" s="35" t="s">
        <v>349</v>
      </c>
      <c r="D44" s="14" t="s">
        <v>350</v>
      </c>
    </row>
    <row r="45" spans="1:4" ht="15" thickBot="1">
      <c r="A45" s="13" t="s">
        <v>352</v>
      </c>
      <c r="B45" s="37" t="s">
        <v>351</v>
      </c>
      <c r="C45" s="13" t="s">
        <v>352</v>
      </c>
      <c r="D45" s="10" t="s">
        <v>351</v>
      </c>
    </row>
    <row r="46" spans="1:4" ht="18">
      <c r="A46" s="18" t="s">
        <v>396</v>
      </c>
      <c r="B46" s="29"/>
      <c r="C46" s="18" t="s">
        <v>397</v>
      </c>
      <c r="D46" s="19"/>
    </row>
    <row r="47" spans="1:4">
      <c r="A47" s="20" t="s">
        <v>285</v>
      </c>
      <c r="B47" s="8"/>
      <c r="C47" s="20" t="s">
        <v>285</v>
      </c>
      <c r="D47" s="21"/>
    </row>
    <row r="48" spans="1:4">
      <c r="A48" s="22" t="s">
        <v>357</v>
      </c>
      <c r="B48" s="30"/>
      <c r="C48" s="22" t="s">
        <v>363</v>
      </c>
      <c r="D48" s="23"/>
    </row>
    <row r="49" spans="1:4">
      <c r="A49" s="20" t="s">
        <v>287</v>
      </c>
      <c r="B49" s="31" t="s">
        <v>358</v>
      </c>
      <c r="C49" s="20" t="s">
        <v>287</v>
      </c>
      <c r="D49" s="24" t="s">
        <v>364</v>
      </c>
    </row>
    <row r="50" spans="1:4">
      <c r="A50" s="20"/>
      <c r="B50" s="31" t="s">
        <v>359</v>
      </c>
      <c r="C50" s="20"/>
      <c r="D50" s="24" t="s">
        <v>365</v>
      </c>
    </row>
    <row r="51" spans="1:4">
      <c r="A51" s="25" t="s">
        <v>288</v>
      </c>
      <c r="B51" s="32" t="s">
        <v>289</v>
      </c>
      <c r="C51" s="25" t="s">
        <v>288</v>
      </c>
      <c r="D51" s="26" t="s">
        <v>289</v>
      </c>
    </row>
    <row r="52" spans="1:4" ht="28.8">
      <c r="A52" s="11" t="s">
        <v>360</v>
      </c>
      <c r="B52" s="33" t="s">
        <v>357</v>
      </c>
      <c r="C52" s="40" t="s">
        <v>366</v>
      </c>
      <c r="D52" s="38" t="s">
        <v>367</v>
      </c>
    </row>
    <row r="53" spans="1:4" ht="29.4" thickBot="1">
      <c r="A53" s="12" t="s">
        <v>361</v>
      </c>
      <c r="B53" s="34" t="s">
        <v>362</v>
      </c>
      <c r="C53" s="41"/>
      <c r="D53" s="39"/>
    </row>
    <row r="54" spans="1:4" ht="18">
      <c r="A54" s="18" t="s">
        <v>398</v>
      </c>
      <c r="B54" s="29"/>
      <c r="C54" s="18" t="s">
        <v>399</v>
      </c>
      <c r="D54" s="19"/>
    </row>
    <row r="55" spans="1:4">
      <c r="A55" s="20" t="s">
        <v>285</v>
      </c>
      <c r="B55" s="8"/>
      <c r="C55" s="20" t="s">
        <v>285</v>
      </c>
      <c r="D55" s="21"/>
    </row>
    <row r="56" spans="1:4">
      <c r="A56" s="22" t="s">
        <v>368</v>
      </c>
      <c r="B56" s="30"/>
      <c r="C56" s="22" t="s">
        <v>372</v>
      </c>
      <c r="D56" s="23"/>
    </row>
    <row r="57" spans="1:4">
      <c r="A57" s="42" t="s">
        <v>287</v>
      </c>
      <c r="B57" s="36" t="s">
        <v>369</v>
      </c>
      <c r="C57" s="20" t="s">
        <v>287</v>
      </c>
      <c r="D57" s="24" t="s">
        <v>373</v>
      </c>
    </row>
    <row r="58" spans="1:4">
      <c r="A58" s="42"/>
      <c r="B58" s="36"/>
      <c r="C58" s="20"/>
      <c r="D58" s="24" t="s">
        <v>374</v>
      </c>
    </row>
    <row r="59" spans="1:4">
      <c r="A59" s="25" t="s">
        <v>288</v>
      </c>
      <c r="B59" s="32" t="s">
        <v>289</v>
      </c>
      <c r="C59" s="25" t="s">
        <v>288</v>
      </c>
      <c r="D59" s="26" t="s">
        <v>289</v>
      </c>
    </row>
    <row r="60" spans="1:4">
      <c r="A60" s="35" t="s">
        <v>370</v>
      </c>
      <c r="B60" s="36" t="s">
        <v>371</v>
      </c>
      <c r="C60" s="11" t="s">
        <v>375</v>
      </c>
      <c r="D60" s="27" t="s">
        <v>376</v>
      </c>
    </row>
    <row r="61" spans="1:4" ht="15" thickBot="1">
      <c r="A61" s="13"/>
      <c r="B61" s="37"/>
      <c r="C61" s="12" t="s">
        <v>377</v>
      </c>
      <c r="D61" s="10" t="s">
        <v>378</v>
      </c>
    </row>
    <row r="62" spans="1:4" ht="18">
      <c r="A62" s="18" t="s">
        <v>400</v>
      </c>
      <c r="B62" s="29"/>
      <c r="C62" s="18" t="s">
        <v>401</v>
      </c>
      <c r="D62" s="19"/>
    </row>
    <row r="63" spans="1:4">
      <c r="A63" s="20" t="s">
        <v>285</v>
      </c>
      <c r="B63" s="8"/>
      <c r="C63" s="20" t="s">
        <v>285</v>
      </c>
      <c r="D63" s="21"/>
    </row>
    <row r="64" spans="1:4">
      <c r="A64" s="22" t="s">
        <v>379</v>
      </c>
      <c r="B64" s="30"/>
      <c r="C64" s="22" t="s">
        <v>384</v>
      </c>
      <c r="D64" s="23"/>
    </row>
    <row r="65" spans="1:4">
      <c r="A65" s="42" t="s">
        <v>287</v>
      </c>
      <c r="B65" s="31" t="s">
        <v>380</v>
      </c>
      <c r="C65" s="42" t="s">
        <v>287</v>
      </c>
      <c r="D65" s="14" t="s">
        <v>385</v>
      </c>
    </row>
    <row r="66" spans="1:4">
      <c r="A66" s="42"/>
      <c r="B66" s="31" t="s">
        <v>381</v>
      </c>
      <c r="C66" s="42"/>
      <c r="D66" s="14"/>
    </row>
    <row r="67" spans="1:4">
      <c r="A67" s="25" t="s">
        <v>288</v>
      </c>
      <c r="B67" s="32" t="s">
        <v>289</v>
      </c>
      <c r="C67" s="25" t="s">
        <v>288</v>
      </c>
      <c r="D67" s="26" t="s">
        <v>289</v>
      </c>
    </row>
    <row r="68" spans="1:4">
      <c r="A68" s="11" t="s">
        <v>382</v>
      </c>
      <c r="B68" s="36" t="s">
        <v>350</v>
      </c>
      <c r="C68" s="11" t="s">
        <v>386</v>
      </c>
      <c r="D68" s="14" t="s">
        <v>387</v>
      </c>
    </row>
    <row r="69" spans="1:4" ht="15" thickBot="1">
      <c r="A69" s="12" t="s">
        <v>383</v>
      </c>
      <c r="B69" s="37" t="s">
        <v>351</v>
      </c>
      <c r="C69" s="13"/>
      <c r="D69" s="10"/>
    </row>
    <row r="70" spans="1:4" ht="18">
      <c r="A70" s="18" t="s">
        <v>402</v>
      </c>
      <c r="B70" s="29"/>
      <c r="C70" s="18" t="s">
        <v>403</v>
      </c>
      <c r="D70" s="19"/>
    </row>
    <row r="71" spans="1:4">
      <c r="A71" s="20" t="s">
        <v>285</v>
      </c>
      <c r="B71" s="8"/>
      <c r="C71" s="20" t="s">
        <v>285</v>
      </c>
      <c r="D71" s="21"/>
    </row>
    <row r="72" spans="1:4">
      <c r="A72" s="22" t="s">
        <v>388</v>
      </c>
      <c r="B72" s="30"/>
      <c r="C72" s="22" t="s">
        <v>391</v>
      </c>
      <c r="D72" s="23"/>
    </row>
    <row r="73" spans="1:4">
      <c r="A73" s="42" t="s">
        <v>287</v>
      </c>
      <c r="B73" s="36" t="s">
        <v>389</v>
      </c>
      <c r="C73" s="42" t="s">
        <v>287</v>
      </c>
      <c r="D73" s="14" t="s">
        <v>392</v>
      </c>
    </row>
    <row r="74" spans="1:4">
      <c r="A74" s="25" t="s">
        <v>288</v>
      </c>
      <c r="B74" s="32" t="s">
        <v>289</v>
      </c>
      <c r="C74" s="25" t="s">
        <v>288</v>
      </c>
      <c r="D74" s="26" t="s">
        <v>289</v>
      </c>
    </row>
    <row r="75" spans="1:4" ht="15" thickBot="1">
      <c r="A75" s="12" t="s">
        <v>390</v>
      </c>
      <c r="B75" s="34" t="s">
        <v>388</v>
      </c>
      <c r="C75" s="12" t="s">
        <v>393</v>
      </c>
      <c r="D75" s="28" t="s">
        <v>394</v>
      </c>
    </row>
  </sheetData>
  <mergeCells count="70">
    <mergeCell ref="C52:C53"/>
    <mergeCell ref="D52:D53"/>
    <mergeCell ref="A70:B70"/>
    <mergeCell ref="C70:D70"/>
    <mergeCell ref="A71:B71"/>
    <mergeCell ref="C71:D71"/>
    <mergeCell ref="A72:B72"/>
    <mergeCell ref="C72:D72"/>
    <mergeCell ref="A63:B63"/>
    <mergeCell ref="C63:D63"/>
    <mergeCell ref="A64:B64"/>
    <mergeCell ref="C64:D64"/>
    <mergeCell ref="A56:B56"/>
    <mergeCell ref="C56:D56"/>
    <mergeCell ref="C57:C58"/>
    <mergeCell ref="A62:B62"/>
    <mergeCell ref="C62:D62"/>
    <mergeCell ref="A49:A50"/>
    <mergeCell ref="C49:C50"/>
    <mergeCell ref="A54:B54"/>
    <mergeCell ref="C54:D54"/>
    <mergeCell ref="A55:B55"/>
    <mergeCell ref="C55:D55"/>
    <mergeCell ref="A46:B46"/>
    <mergeCell ref="C46:D46"/>
    <mergeCell ref="A47:B47"/>
    <mergeCell ref="C47:D47"/>
    <mergeCell ref="A48:B48"/>
    <mergeCell ref="C48:D48"/>
    <mergeCell ref="A37:B37"/>
    <mergeCell ref="A38:B38"/>
    <mergeCell ref="A39:B39"/>
    <mergeCell ref="A40:A42"/>
    <mergeCell ref="C37:D37"/>
    <mergeCell ref="C38:D38"/>
    <mergeCell ref="C39:D39"/>
    <mergeCell ref="C40:C42"/>
    <mergeCell ref="A29:B29"/>
    <mergeCell ref="A30:B30"/>
    <mergeCell ref="A31:B31"/>
    <mergeCell ref="A32:A33"/>
    <mergeCell ref="C29:D29"/>
    <mergeCell ref="C30:D30"/>
    <mergeCell ref="C31:D31"/>
    <mergeCell ref="C32:C33"/>
    <mergeCell ref="A24:A25"/>
    <mergeCell ref="C21:D21"/>
    <mergeCell ref="C22:D22"/>
    <mergeCell ref="C23:D23"/>
    <mergeCell ref="C24:C25"/>
    <mergeCell ref="A15:A17"/>
    <mergeCell ref="C15:C17"/>
    <mergeCell ref="A1:D1"/>
    <mergeCell ref="A21:B21"/>
    <mergeCell ref="A22:B22"/>
    <mergeCell ref="A23:B23"/>
    <mergeCell ref="A12:B12"/>
    <mergeCell ref="C12:D12"/>
    <mergeCell ref="A13:B13"/>
    <mergeCell ref="C13:D13"/>
    <mergeCell ref="A14:B14"/>
    <mergeCell ref="C14:D14"/>
    <mergeCell ref="A5:A8"/>
    <mergeCell ref="C2:D2"/>
    <mergeCell ref="C3:D3"/>
    <mergeCell ref="C4:D4"/>
    <mergeCell ref="C5:C8"/>
    <mergeCell ref="A2:B2"/>
    <mergeCell ref="A4:B4"/>
    <mergeCell ref="A3:B3"/>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33767-D3FD-4E05-8FA5-81581D7B08F3}">
  <dimension ref="A1:B2"/>
  <sheetViews>
    <sheetView workbookViewId="0"/>
  </sheetViews>
  <sheetFormatPr defaultRowHeight="14.4"/>
  <cols>
    <col min="1" max="1" width="17.88671875" customWidth="1"/>
    <col min="2" max="2" width="15" customWidth="1"/>
  </cols>
  <sheetData>
    <row r="1" spans="1:2">
      <c r="A1" t="s">
        <v>404</v>
      </c>
      <c r="B1" t="s">
        <v>405</v>
      </c>
    </row>
    <row r="2" spans="1:2">
      <c r="A2" t="s">
        <v>407</v>
      </c>
      <c r="B2" t="s">
        <v>406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J16" sqref="J16"/>
    </sheetView>
  </sheetViews>
  <sheetFormatPr defaultRowHeight="14.4"/>
  <cols>
    <col min="1" max="1" width="16.88671875" customWidth="1"/>
    <col min="2" max="3" width="26.77734375" customWidth="1"/>
    <col min="4" max="4" width="47.109375" customWidth="1"/>
    <col min="10" max="10" width="16.88671875" customWidth="1"/>
    <col min="11" max="11" width="28.21875" customWidth="1"/>
  </cols>
  <sheetData>
    <row r="1" spans="1:11">
      <c r="A1" s="5" t="s">
        <v>404</v>
      </c>
      <c r="B1" s="1" t="s">
        <v>9</v>
      </c>
      <c r="C1" s="2" t="s">
        <v>32</v>
      </c>
      <c r="D1" s="1" t="s">
        <v>0</v>
      </c>
    </row>
    <row r="2" spans="1:11">
      <c r="A2" t="s">
        <v>407</v>
      </c>
      <c r="B2" s="3" t="s">
        <v>24</v>
      </c>
      <c r="C2" s="3" t="str" cm="1">
        <f t="array" ref="C2">INDEX(_xlfn.TEXTSPLIT(B2,"-"),2)</f>
        <v>AHS</v>
      </c>
      <c r="D2" t="s">
        <v>8</v>
      </c>
    </row>
    <row r="3" spans="1:11">
      <c r="A3" t="s">
        <v>407</v>
      </c>
      <c r="B3" s="3" t="s">
        <v>25</v>
      </c>
      <c r="C3" s="3" t="str" cm="1">
        <f t="array" ref="C3">INDEX(_xlfn.TEXTSPLIT(B3,"-"),2)</f>
        <v>AHSS</v>
      </c>
      <c r="D3" t="s">
        <v>2</v>
      </c>
    </row>
    <row r="4" spans="1:11">
      <c r="A4" t="s">
        <v>407</v>
      </c>
      <c r="B4" s="3" t="s">
        <v>26</v>
      </c>
      <c r="C4" s="3" t="str" cm="1">
        <f t="array" ref="C4">INDEX(_xlfn.TEXTSPLIT(B4,"-"),2)</f>
        <v>COM</v>
      </c>
      <c r="D4" t="s">
        <v>6</v>
      </c>
    </row>
    <row r="5" spans="1:11">
      <c r="A5" t="s">
        <v>407</v>
      </c>
      <c r="B5" s="3" t="s">
        <v>27</v>
      </c>
      <c r="C5" s="3" t="str" cm="1">
        <f t="array" ref="C5">INDEX(_xlfn.TEXTSPLIT(B5,"-"),2)</f>
        <v>ENG</v>
      </c>
      <c r="D5" t="s">
        <v>1</v>
      </c>
    </row>
    <row r="6" spans="1:11">
      <c r="A6" t="s">
        <v>407</v>
      </c>
      <c r="B6" s="3" t="s">
        <v>28</v>
      </c>
      <c r="C6" s="3" t="str" cm="1">
        <f t="array" ref="C6">INDEX(_xlfn.TEXTSPLIT(B6,"-"),2)</f>
        <v>LAW</v>
      </c>
      <c r="D6" t="s">
        <v>5</v>
      </c>
    </row>
    <row r="7" spans="1:11">
      <c r="A7" t="s">
        <v>407</v>
      </c>
      <c r="B7" s="3" t="s">
        <v>29</v>
      </c>
      <c r="C7" s="3" t="str" cm="1">
        <f t="array" ref="C7">INDEX(_xlfn.TEXTSPLIT(B7,"-"),2)</f>
        <v>MGT</v>
      </c>
      <c r="D7" t="s">
        <v>4</v>
      </c>
    </row>
    <row r="8" spans="1:11">
      <c r="A8" t="s">
        <v>407</v>
      </c>
      <c r="B8" s="3" t="s">
        <v>30</v>
      </c>
      <c r="C8" s="3" t="str" cm="1">
        <f t="array" ref="C8">INDEX(_xlfn.TEXTSPLIT(B8,"-"),2)</f>
        <v>PHR</v>
      </c>
      <c r="D8" t="s">
        <v>3</v>
      </c>
    </row>
    <row r="9" spans="1:11">
      <c r="A9" t="s">
        <v>407</v>
      </c>
      <c r="B9" s="3" t="s">
        <v>31</v>
      </c>
      <c r="C9" s="3" t="str" cm="1">
        <f t="array" ref="C9">INDEX(_xlfn.TEXTSPLIT(B9,"-"),2)</f>
        <v>SCI</v>
      </c>
      <c r="D9" t="s">
        <v>7</v>
      </c>
    </row>
    <row r="16" spans="1:11">
      <c r="J16" s="4"/>
      <c r="K16" s="4"/>
    </row>
    <row r="17" spans="10:10">
      <c r="J17" s="3"/>
    </row>
    <row r="18" spans="10:10">
      <c r="J18" s="3"/>
    </row>
    <row r="19" spans="10:10">
      <c r="J19" s="3"/>
    </row>
    <row r="20" spans="10:10">
      <c r="J20" s="3"/>
    </row>
    <row r="21" spans="10:10">
      <c r="J21" s="3"/>
    </row>
    <row r="22" spans="10:10">
      <c r="J22" s="3"/>
    </row>
    <row r="23" spans="10:10">
      <c r="J23" s="3"/>
    </row>
    <row r="24" spans="10:10">
      <c r="J24" s="3"/>
    </row>
  </sheetData>
  <autoFilter ref="B1:D9" xr:uid="{00000000-0001-0000-0000-000000000000}">
    <sortState xmlns:xlrd2="http://schemas.microsoft.com/office/spreadsheetml/2017/richdata2" ref="B2:D9">
      <sortCondition ref="D1:D9"/>
    </sortState>
  </autoFilter>
  <sortState xmlns:xlrd2="http://schemas.microsoft.com/office/spreadsheetml/2017/richdata2" ref="B2:D10">
    <sortCondition descending="1" ref="B1:B1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72ADA-5517-4E88-9F38-4A6DC8B0EA0D}">
  <dimension ref="A1:I24"/>
  <sheetViews>
    <sheetView zoomScale="80" zoomScaleNormal="80" workbookViewId="0">
      <selection activeCell="E27" sqref="E27"/>
    </sheetView>
  </sheetViews>
  <sheetFormatPr defaultRowHeight="14.4"/>
  <cols>
    <col min="1" max="2" width="15.44140625" customWidth="1"/>
    <col min="3" max="4" width="34.88671875" customWidth="1"/>
    <col min="5" max="5" width="41.33203125" customWidth="1"/>
    <col min="6" max="6" width="32.21875" customWidth="1"/>
    <col min="9" max="9" width="28" customWidth="1"/>
  </cols>
  <sheetData>
    <row r="1" spans="1:9">
      <c r="A1" s="1" t="s">
        <v>9</v>
      </c>
      <c r="B1" s="2" t="s">
        <v>32</v>
      </c>
      <c r="C1" s="2" t="s">
        <v>22</v>
      </c>
      <c r="D1" s="2" t="s">
        <v>171</v>
      </c>
      <c r="E1" s="2" t="s">
        <v>23</v>
      </c>
    </row>
    <row r="2" spans="1:9">
      <c r="A2" s="3" t="s">
        <v>24</v>
      </c>
      <c r="B2" s="3" t="str">
        <f>_xlfn.XLOOKUP(A2,FACULTY_DATA!$B$2:$B$9,FACULTY_DATA!$C$2:$C$9)</f>
        <v>AHS</v>
      </c>
      <c r="C2" t="str">
        <f>"DEP-"&amp;B2&amp;"-"&amp;D2</f>
        <v>DEP-AHS-HS</v>
      </c>
      <c r="D2" t="s">
        <v>82</v>
      </c>
      <c r="E2" t="s">
        <v>81</v>
      </c>
    </row>
    <row r="3" spans="1:9">
      <c r="A3" s="3" t="s">
        <v>25</v>
      </c>
      <c r="B3" s="3" t="str">
        <f>_xlfn.XLOOKUP(A3,FACULTY_DATA!$B$2:$B$9,FACULTY_DATA!$C$2:$C$9)</f>
        <v>AHSS</v>
      </c>
      <c r="C3" t="str">
        <f t="shared" ref="C3:C24" si="0">"DEP-"&amp;B3&amp;"-"&amp;D3</f>
        <v>DEP-AHSS-JMC</v>
      </c>
      <c r="D3" t="s">
        <v>46</v>
      </c>
      <c r="E3" t="s">
        <v>11</v>
      </c>
    </row>
    <row r="4" spans="1:9">
      <c r="A4" s="3" t="s">
        <v>25</v>
      </c>
      <c r="B4" s="3" t="str">
        <f>_xlfn.XLOOKUP(A4,FACULTY_DATA!$B$2:$B$9,FACULTY_DATA!$C$2:$C$9)</f>
        <v>AHSS</v>
      </c>
      <c r="C4" t="str">
        <f t="shared" si="0"/>
        <v>DEP-AHSS-ENG</v>
      </c>
      <c r="D4" t="s">
        <v>45</v>
      </c>
      <c r="E4" t="s">
        <v>12</v>
      </c>
    </row>
    <row r="5" spans="1:9">
      <c r="A5" s="3" t="s">
        <v>26</v>
      </c>
      <c r="B5" s="3" t="str">
        <f>_xlfn.XLOOKUP(A5,FACULTY_DATA!$B$2:$B$9,FACULTY_DATA!$C$2:$C$9)</f>
        <v>COM</v>
      </c>
      <c r="C5" t="str">
        <f>"DEP-"&amp;B5&amp;"-"&amp;D5</f>
        <v>DEP-COM-COM</v>
      </c>
      <c r="D5" t="s">
        <v>44</v>
      </c>
      <c r="E5" t="s">
        <v>10</v>
      </c>
      <c r="I5" s="3"/>
    </row>
    <row r="6" spans="1:9">
      <c r="A6" s="3" t="s">
        <v>27</v>
      </c>
      <c r="B6" s="3" t="str">
        <f>_xlfn.XLOOKUP(A6,FACULTY_DATA!$B$2:$B$9,FACULTY_DATA!$C$2:$C$9)</f>
        <v>ENG</v>
      </c>
      <c r="C6" t="str">
        <f t="shared" si="0"/>
        <v>DEP-ENG-CSE</v>
      </c>
      <c r="D6" t="s">
        <v>47</v>
      </c>
      <c r="E6" t="s">
        <v>13</v>
      </c>
    </row>
    <row r="7" spans="1:9">
      <c r="A7" s="3" t="s">
        <v>27</v>
      </c>
      <c r="B7" s="3" t="str">
        <f>_xlfn.XLOOKUP(A7,FACULTY_DATA!$B$2:$B$9,FACULTY_DATA!$C$2:$C$9)</f>
        <v>ENG</v>
      </c>
      <c r="C7" t="str">
        <f t="shared" si="0"/>
        <v>DEP-ENG-IT</v>
      </c>
      <c r="D7" t="s">
        <v>48</v>
      </c>
      <c r="E7" t="s">
        <v>14</v>
      </c>
    </row>
    <row r="8" spans="1:9">
      <c r="A8" s="3" t="s">
        <v>27</v>
      </c>
      <c r="B8" s="3" t="str">
        <f>_xlfn.XLOOKUP(A8,FACULTY_DATA!$B$2:$B$9,FACULTY_DATA!$C$2:$C$9)</f>
        <v>ENG</v>
      </c>
      <c r="C8" t="str">
        <f t="shared" si="0"/>
        <v>DEP-ENG-RA</v>
      </c>
      <c r="D8" t="s">
        <v>49</v>
      </c>
      <c r="E8" t="s">
        <v>15</v>
      </c>
    </row>
    <row r="9" spans="1:9">
      <c r="A9" s="3" t="s">
        <v>27</v>
      </c>
      <c r="B9" s="3" t="str">
        <f>_xlfn.XLOOKUP(A9,FACULTY_DATA!$B$2:$B$9,FACULTY_DATA!$C$2:$C$9)</f>
        <v>ENG</v>
      </c>
      <c r="C9" t="str">
        <f t="shared" si="0"/>
        <v>DEP-ENG-AE</v>
      </c>
      <c r="D9" t="s">
        <v>50</v>
      </c>
      <c r="E9" t="s">
        <v>16</v>
      </c>
    </row>
    <row r="10" spans="1:9">
      <c r="A10" s="3" t="s">
        <v>27</v>
      </c>
      <c r="B10" s="3" t="str">
        <f>_xlfn.XLOOKUP(A10,FACULTY_DATA!$B$2:$B$9,FACULTY_DATA!$C$2:$C$9)</f>
        <v>ENG</v>
      </c>
      <c r="C10" t="str">
        <f t="shared" si="0"/>
        <v>DEP-ENG-CE</v>
      </c>
      <c r="D10" t="s">
        <v>51</v>
      </c>
      <c r="E10" t="s">
        <v>17</v>
      </c>
    </row>
    <row r="11" spans="1:9">
      <c r="A11" s="3" t="s">
        <v>27</v>
      </c>
      <c r="B11" s="3" t="str">
        <f>_xlfn.XLOOKUP(A11,FACULTY_DATA!$B$2:$B$9,FACULTY_DATA!$C$2:$C$9)</f>
        <v>ENG</v>
      </c>
      <c r="C11" t="str">
        <f t="shared" si="0"/>
        <v>DEP-ENG-ECE</v>
      </c>
      <c r="D11" t="s">
        <v>52</v>
      </c>
      <c r="E11" t="s">
        <v>18</v>
      </c>
    </row>
    <row r="12" spans="1:9">
      <c r="A12" s="3" t="s">
        <v>27</v>
      </c>
      <c r="B12" s="3" t="str">
        <f>_xlfn.XLOOKUP(A12,FACULTY_DATA!$B$2:$B$9,FACULTY_DATA!$C$2:$C$9)</f>
        <v>ENG</v>
      </c>
      <c r="C12" t="str">
        <f t="shared" si="0"/>
        <v>DEP-ENG-EE</v>
      </c>
      <c r="D12" t="s">
        <v>53</v>
      </c>
      <c r="E12" t="s">
        <v>19</v>
      </c>
    </row>
    <row r="13" spans="1:9">
      <c r="A13" s="3" t="s">
        <v>27</v>
      </c>
      <c r="B13" s="3" t="str">
        <f>_xlfn.XLOOKUP(A13,FACULTY_DATA!$B$2:$B$9,FACULTY_DATA!$C$2:$C$9)</f>
        <v>ENG</v>
      </c>
      <c r="C13" t="str">
        <f t="shared" si="0"/>
        <v>DEP-ENG-ME</v>
      </c>
      <c r="D13" t="s">
        <v>54</v>
      </c>
      <c r="E13" t="s">
        <v>20</v>
      </c>
    </row>
    <row r="14" spans="1:9">
      <c r="A14" s="3" t="s">
        <v>27</v>
      </c>
      <c r="B14" s="3" t="str">
        <f>_xlfn.XLOOKUP(A14,FACULTY_DATA!$B$2:$B$9,FACULTY_DATA!$C$2:$C$9)</f>
        <v>ENG</v>
      </c>
      <c r="C14" t="str">
        <f t="shared" si="0"/>
        <v>DEP-ENG-NT</v>
      </c>
      <c r="D14" t="s">
        <v>55</v>
      </c>
      <c r="E14" t="s">
        <v>21</v>
      </c>
    </row>
    <row r="15" spans="1:9">
      <c r="A15" s="3" t="s">
        <v>28</v>
      </c>
      <c r="B15" s="3" t="str">
        <f>_xlfn.XLOOKUP(A15,FACULTY_DATA!$B$2:$B$9,FACULTY_DATA!$C$2:$C$9)</f>
        <v>LAW</v>
      </c>
      <c r="C15" t="str">
        <f t="shared" si="0"/>
        <v>DEP-LAW-LS</v>
      </c>
      <c r="D15" t="s">
        <v>57</v>
      </c>
      <c r="E15" t="s">
        <v>56</v>
      </c>
    </row>
    <row r="16" spans="1:9">
      <c r="A16" s="3" t="s">
        <v>29</v>
      </c>
      <c r="B16" s="3" t="str">
        <f>_xlfn.XLOOKUP(A16,FACULTY_DATA!$B$2:$B$9,FACULTY_DATA!$C$2:$C$9)</f>
        <v>MGT</v>
      </c>
      <c r="C16" t="str">
        <f t="shared" si="0"/>
        <v>DEP-MGT-BA</v>
      </c>
      <c r="D16" t="s">
        <v>59</v>
      </c>
      <c r="E16" t="s">
        <v>58</v>
      </c>
    </row>
    <row r="17" spans="1:6">
      <c r="A17" s="3" t="s">
        <v>30</v>
      </c>
      <c r="B17" s="3" t="str">
        <f>_xlfn.XLOOKUP(A17,FACULTY_DATA!$B$2:$B$9,FACULTY_DATA!$C$2:$C$9)</f>
        <v>PHR</v>
      </c>
      <c r="C17" t="str">
        <f t="shared" si="0"/>
        <v>DEP-PHR-PH</v>
      </c>
      <c r="D17" t="s">
        <v>61</v>
      </c>
      <c r="E17" t="s">
        <v>60</v>
      </c>
    </row>
    <row r="18" spans="1:6">
      <c r="A18" s="3" t="s">
        <v>31</v>
      </c>
      <c r="B18" s="3" t="str">
        <f>_xlfn.XLOOKUP(A18,FACULTY_DATA!$B$2:$B$9,FACULTY_DATA!$C$2:$C$9)</f>
        <v>SCI</v>
      </c>
      <c r="C18" t="str">
        <f t="shared" si="0"/>
        <v>DEP-SCI-AG</v>
      </c>
      <c r="D18" t="s">
        <v>69</v>
      </c>
      <c r="E18" t="s">
        <v>62</v>
      </c>
    </row>
    <row r="19" spans="1:6">
      <c r="A19" s="3" t="s">
        <v>31</v>
      </c>
      <c r="B19" s="3" t="str">
        <f>_xlfn.XLOOKUP(A19,FACULTY_DATA!$B$2:$B$9,FACULTY_DATA!$C$2:$C$9)</f>
        <v>SCI</v>
      </c>
      <c r="C19" t="str">
        <f t="shared" si="0"/>
        <v>DEP-SCI-FS</v>
      </c>
      <c r="D19" t="s">
        <v>70</v>
      </c>
      <c r="E19" t="s">
        <v>63</v>
      </c>
      <c r="F19" s="4"/>
    </row>
    <row r="20" spans="1:6">
      <c r="A20" s="3" t="s">
        <v>31</v>
      </c>
      <c r="B20" s="3" t="str">
        <f>_xlfn.XLOOKUP(A20,FACULTY_DATA!$B$2:$B$9,FACULTY_DATA!$C$2:$C$9)</f>
        <v>SCI</v>
      </c>
      <c r="C20" t="str">
        <f t="shared" si="0"/>
        <v>DEP-SCI-BT</v>
      </c>
      <c r="D20" t="s">
        <v>71</v>
      </c>
      <c r="E20" t="s">
        <v>64</v>
      </c>
      <c r="F20" s="3"/>
    </row>
    <row r="21" spans="1:6">
      <c r="A21" s="3" t="s">
        <v>31</v>
      </c>
      <c r="B21" s="3" t="str">
        <f>_xlfn.XLOOKUP(A21,FACULTY_DATA!$B$2:$B$9,FACULTY_DATA!$C$2:$C$9)</f>
        <v>SCI</v>
      </c>
      <c r="C21" t="str">
        <f t="shared" si="0"/>
        <v>DEP-SCI-CSE</v>
      </c>
      <c r="D21" t="s">
        <v>47</v>
      </c>
      <c r="E21" t="s">
        <v>65</v>
      </c>
      <c r="F21" s="3"/>
    </row>
    <row r="22" spans="1:6">
      <c r="A22" s="3" t="s">
        <v>31</v>
      </c>
      <c r="B22" s="3" t="str">
        <f>_xlfn.XLOOKUP(A22,FACULTY_DATA!$B$2:$B$9,FACULTY_DATA!$C$2:$C$9)</f>
        <v>SCI</v>
      </c>
      <c r="C22" t="str">
        <f t="shared" si="0"/>
        <v>DEP-SCI-PHY</v>
      </c>
      <c r="D22" t="s">
        <v>72</v>
      </c>
      <c r="E22" t="s">
        <v>66</v>
      </c>
      <c r="F22" s="3"/>
    </row>
    <row r="23" spans="1:6">
      <c r="A23" s="3" t="s">
        <v>31</v>
      </c>
      <c r="B23" s="3" t="str">
        <f>_xlfn.XLOOKUP(A23,FACULTY_DATA!$B$2:$B$9,FACULTY_DATA!$C$2:$C$9)</f>
        <v>SCI</v>
      </c>
      <c r="C23" t="str">
        <f t="shared" si="0"/>
        <v>DEP-SCI-CH</v>
      </c>
      <c r="D23" t="s">
        <v>73</v>
      </c>
      <c r="E23" t="s">
        <v>67</v>
      </c>
      <c r="F23" s="3"/>
    </row>
    <row r="24" spans="1:6">
      <c r="A24" s="3" t="s">
        <v>31</v>
      </c>
      <c r="B24" s="3" t="str">
        <f>_xlfn.XLOOKUP(A24,FACULTY_DATA!$B$2:$B$9,FACULTY_DATA!$C$2:$C$9)</f>
        <v>SCI</v>
      </c>
      <c r="C24" t="str">
        <f t="shared" si="0"/>
        <v>DEP-SCI-MATH</v>
      </c>
      <c r="D24" t="s">
        <v>74</v>
      </c>
      <c r="E24"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2CE3B-BF40-459C-953D-94AFDA9EA225}">
  <dimension ref="A1:N46"/>
  <sheetViews>
    <sheetView tabSelected="1" workbookViewId="0">
      <selection activeCell="G1" sqref="G1:G1048576"/>
    </sheetView>
  </sheetViews>
  <sheetFormatPr defaultRowHeight="14.4"/>
  <cols>
    <col min="1" max="1" width="13.88671875" bestFit="1" customWidth="1"/>
    <col min="2" max="2" width="48.21875" bestFit="1" customWidth="1"/>
    <col min="3" max="3" width="32.77734375" bestFit="1" customWidth="1"/>
    <col min="4" max="4" width="20.5546875" bestFit="1" customWidth="1"/>
    <col min="5" max="5" width="41.44140625" bestFit="1" customWidth="1"/>
    <col min="6" max="6" width="14.5546875" customWidth="1"/>
    <col min="7" max="7" width="14.77734375" bestFit="1" customWidth="1"/>
    <col min="8" max="8" width="9.5546875" customWidth="1"/>
    <col min="13" max="13" width="31.109375" customWidth="1"/>
    <col min="14" max="14" width="53.88671875" customWidth="1"/>
  </cols>
  <sheetData>
    <row r="1" spans="1:14" ht="28.8">
      <c r="A1" s="4" t="s">
        <v>83</v>
      </c>
      <c r="B1" s="4" t="s">
        <v>85</v>
      </c>
      <c r="C1" s="4" t="s">
        <v>84</v>
      </c>
      <c r="D1" s="4" t="s">
        <v>86</v>
      </c>
      <c r="E1" s="4" t="s">
        <v>170</v>
      </c>
      <c r="F1" s="4" t="s">
        <v>410</v>
      </c>
      <c r="G1" s="5" t="s">
        <v>409</v>
      </c>
      <c r="H1" s="4" t="s">
        <v>408</v>
      </c>
    </row>
    <row r="2" spans="1:14">
      <c r="A2" t="str">
        <f>_xlfn.XLOOKUP(B2,DEPARTMENT_DATA!$E$2:$E$24,DEPARTMENT_DATA!$C$2:$C$24)</f>
        <v>DEP-AHS-HS</v>
      </c>
      <c r="B2" t="s">
        <v>81</v>
      </c>
      <c r="C2" t="s">
        <v>187</v>
      </c>
      <c r="D2" s="3" t="s">
        <v>87</v>
      </c>
      <c r="E2" s="3" t="s">
        <v>90</v>
      </c>
      <c r="F2" s="3" t="str" cm="1">
        <f t="array" ref="F2">_xlfn.IFS(
ISNUMBER(SEARCH("Integrated",E2)), "5",
ISNUMBER(SEARCH("Bachelor of Technology",E2)), "4",
ISNUMBER(SEARCH("Bachelor of Pharmacy",E2)), "4",
ISNUMBER(SEARCH("Bachelor of Science in Agriculture",E2)), "4",
ISNUMBER(SEARCH("Bachelor of Arts and Bachelor of Laws",E2)), "5",
ISNUMBER(SEARCH("Bachelor of Business Administration and Bachelor of Laws",E2)), "5",
ISNUMBER(SEARCH("Master of Laws",E2)), "1",
ISNUMBER(SEARCH("Master",E2)), "2",
ISNUMBER(SEARCH("Bachelor",E2)), "3"
)</f>
        <v>3</v>
      </c>
      <c r="G2" s="3">
        <f>2*F2</f>
        <v>6</v>
      </c>
      <c r="H2" s="3" t="s">
        <v>411</v>
      </c>
      <c r="M2" s="4"/>
      <c r="N2" s="4"/>
    </row>
    <row r="3" spans="1:14" ht="28.8">
      <c r="A3" t="str">
        <f>_xlfn.XLOOKUP(B3,DEPARTMENT_DATA!$E$2:$E$24,DEPARTMENT_DATA!$C$2:$C$24)</f>
        <v>DEP-AHSS-JMC</v>
      </c>
      <c r="B3" t="s">
        <v>11</v>
      </c>
      <c r="C3" t="s">
        <v>188</v>
      </c>
      <c r="D3" s="3" t="s">
        <v>77</v>
      </c>
      <c r="E3" s="3" t="s">
        <v>91</v>
      </c>
      <c r="F3" s="3" t="str" cm="1">
        <f t="array" ref="F3">_xlfn.IFS(
ISNUMBER(SEARCH("Integrated",E3)), "5",
ISNUMBER(SEARCH("Bachelor of Technology",E3)), "4",
ISNUMBER(SEARCH("Bachelor of Pharmacy",E3)), "4",
ISNUMBER(SEARCH("Bachelor of Science in Agriculture",E3)), "4",
ISNUMBER(SEARCH("Bachelor of Arts and Bachelor of Laws",E3)), "5",
ISNUMBER(SEARCH("Bachelor of Business Administration and Bachelor of Laws",E3)), "5",
ISNUMBER(SEARCH("Master of Laws",E3)), "1",
ISNUMBER(SEARCH("Master",E3)), "2",
ISNUMBER(SEARCH("Bachelor",E3)), "3"
)</f>
        <v>3</v>
      </c>
      <c r="G3" s="3">
        <f t="shared" ref="G3:G45" si="0">2*F3</f>
        <v>6</v>
      </c>
      <c r="H3" s="3" t="s">
        <v>411</v>
      </c>
    </row>
    <row r="4" spans="1:14">
      <c r="A4" t="str">
        <f>_xlfn.XLOOKUP(B4,DEPARTMENT_DATA!$E$2:$E$24,DEPARTMENT_DATA!$C$2:$C$24)</f>
        <v>DEP-AHSS-ENG</v>
      </c>
      <c r="B4" t="s">
        <v>12</v>
      </c>
      <c r="C4" t="s">
        <v>189</v>
      </c>
      <c r="D4" s="3" t="s">
        <v>135</v>
      </c>
      <c r="E4" s="3" t="s">
        <v>92</v>
      </c>
      <c r="F4" s="3" t="str" cm="1">
        <f t="array" ref="F4">_xlfn.IFS(
ISNUMBER(SEARCH("Integrated",E4)), "5",
ISNUMBER(SEARCH("Bachelor of Technology",E4)), "4",
ISNUMBER(SEARCH("Bachelor of Pharmacy",E4)), "4",
ISNUMBER(SEARCH("Bachelor of Science in Agriculture",E4)), "4",
ISNUMBER(SEARCH("Bachelor of Arts and Bachelor of Laws",E4)), "5",
ISNUMBER(SEARCH("Bachelor of Business Administration and Bachelor of Laws",E4)), "5",
ISNUMBER(SEARCH("Master of Laws",E4)), "1",
ISNUMBER(SEARCH("Master",E4)), "2",
ISNUMBER(SEARCH("Bachelor",E4)), "3"
)</f>
        <v>2</v>
      </c>
      <c r="G4" s="3">
        <f t="shared" si="0"/>
        <v>4</v>
      </c>
      <c r="H4" s="3" t="s">
        <v>411</v>
      </c>
    </row>
    <row r="5" spans="1:14">
      <c r="A5" t="str">
        <f>_xlfn.XLOOKUP(B5,DEPARTMENT_DATA!$E$2:$E$24,DEPARTMENT_DATA!$C$2:$C$24)</f>
        <v>DEP-COM-COM</v>
      </c>
      <c r="B5" t="s">
        <v>10</v>
      </c>
      <c r="C5" t="s">
        <v>190</v>
      </c>
      <c r="D5" s="3" t="s">
        <v>88</v>
      </c>
      <c r="E5" s="3" t="s">
        <v>93</v>
      </c>
      <c r="F5" s="3" t="str" cm="1">
        <f t="array" ref="F5">_xlfn.IFS(
ISNUMBER(SEARCH("Integrated",E5)), "5",
ISNUMBER(SEARCH("Bachelor of Technology",E5)), "4",
ISNUMBER(SEARCH("Bachelor of Pharmacy",E5)), "4",
ISNUMBER(SEARCH("Bachelor of Science in Agriculture",E5)), "4",
ISNUMBER(SEARCH("Bachelor of Arts and Bachelor of Laws",E5)), "5",
ISNUMBER(SEARCH("Bachelor of Business Administration and Bachelor of Laws",E5)), "5",
ISNUMBER(SEARCH("Master of Laws",E5)), "1",
ISNUMBER(SEARCH("Master",E5)), "2",
ISNUMBER(SEARCH("Bachelor",E5)), "3"
)</f>
        <v>3</v>
      </c>
      <c r="G5" s="3">
        <f t="shared" si="0"/>
        <v>6</v>
      </c>
      <c r="H5" s="3" t="s">
        <v>411</v>
      </c>
    </row>
    <row r="6" spans="1:14">
      <c r="A6" t="str">
        <f>_xlfn.XLOOKUP(B6,DEPARTMENT_DATA!$E$2:$E$24,DEPARTMENT_DATA!$C$2:$C$24)</f>
        <v>DEP-COM-COM</v>
      </c>
      <c r="B6" t="s">
        <v>10</v>
      </c>
      <c r="C6" t="s">
        <v>191</v>
      </c>
      <c r="D6" s="3" t="s">
        <v>136</v>
      </c>
      <c r="E6" s="3" t="s">
        <v>94</v>
      </c>
      <c r="F6" s="3" t="str" cm="1">
        <f t="array" ref="F6">_xlfn.IFS(
ISNUMBER(SEARCH("Integrated",E6)), "5",
ISNUMBER(SEARCH("Bachelor of Technology",E6)), "4",
ISNUMBER(SEARCH("Bachelor of Pharmacy",E6)), "4",
ISNUMBER(SEARCH("Bachelor of Science in Agriculture",E6)), "4",
ISNUMBER(SEARCH("Bachelor of Arts and Bachelor of Laws",E6)), "5",
ISNUMBER(SEARCH("Bachelor of Business Administration and Bachelor of Laws",E6)), "5",
ISNUMBER(SEARCH("Master of Laws",E6)), "1",
ISNUMBER(SEARCH("Master",E6)), "2",
ISNUMBER(SEARCH("Bachelor",E6)), "3"
)</f>
        <v>3</v>
      </c>
      <c r="G6" s="3">
        <f t="shared" si="0"/>
        <v>6</v>
      </c>
      <c r="H6" s="3" t="s">
        <v>411</v>
      </c>
    </row>
    <row r="7" spans="1:14" ht="28.8">
      <c r="A7" t="str">
        <f>_xlfn.XLOOKUP(B7,DEPARTMENT_DATA!$E$2:$E$24,DEPARTMENT_DATA!$C$2:$C$24)</f>
        <v>DEP-ENG-CSE</v>
      </c>
      <c r="B7" t="s">
        <v>13</v>
      </c>
      <c r="C7" t="s">
        <v>192</v>
      </c>
      <c r="D7" s="3" t="s">
        <v>137</v>
      </c>
      <c r="E7" s="3" t="s">
        <v>95</v>
      </c>
      <c r="F7" s="3" t="str" cm="1">
        <f t="array" ref="F7">_xlfn.IFS(
ISNUMBER(SEARCH("Integrated",E7)), "5",
ISNUMBER(SEARCH("Bachelor of Technology",E7)), "4",
ISNUMBER(SEARCH("Bachelor of Pharmacy",E7)), "4",
ISNUMBER(SEARCH("Bachelor of Science in Agriculture",E7)), "4",
ISNUMBER(SEARCH("Bachelor of Arts and Bachelor of Laws",E7)), "5",
ISNUMBER(SEARCH("Bachelor of Business Administration and Bachelor of Laws",E7)), "5",
ISNUMBER(SEARCH("Master of Laws",E7)), "1",
ISNUMBER(SEARCH("Master",E7)), "2",
ISNUMBER(SEARCH("Bachelor",E7)), "3"
)</f>
        <v>4</v>
      </c>
      <c r="G7" s="3">
        <f t="shared" si="0"/>
        <v>8</v>
      </c>
      <c r="H7" s="3" t="s">
        <v>411</v>
      </c>
    </row>
    <row r="8" spans="1:14" ht="28.8">
      <c r="A8" t="str">
        <f>_xlfn.XLOOKUP(B8,DEPARTMENT_DATA!$E$2:$E$24,DEPARTMENT_DATA!$C$2:$C$24)</f>
        <v>DEP-ENG-CSE</v>
      </c>
      <c r="B8" t="s">
        <v>13</v>
      </c>
      <c r="C8" t="s">
        <v>230</v>
      </c>
      <c r="D8" s="3" t="s">
        <v>138</v>
      </c>
      <c r="E8" s="3" t="s">
        <v>96</v>
      </c>
      <c r="F8" s="3" t="str" cm="1">
        <f t="array" ref="F8">_xlfn.IFS(
ISNUMBER(SEARCH("Integrated",E8)), "5",
ISNUMBER(SEARCH("Bachelor of Technology",E8)), "4",
ISNUMBER(SEARCH("Bachelor of Pharmacy",E8)), "4",
ISNUMBER(SEARCH("Bachelor of Science in Agriculture",E8)), "4",
ISNUMBER(SEARCH("Bachelor of Arts and Bachelor of Laws",E8)), "5",
ISNUMBER(SEARCH("Bachelor of Business Administration and Bachelor of Laws",E8)), "5",
ISNUMBER(SEARCH("Master of Laws",E8)), "1",
ISNUMBER(SEARCH("Master",E8)), "2",
ISNUMBER(SEARCH("Bachelor",E8)), "3"
)</f>
        <v>5</v>
      </c>
      <c r="G8" s="3">
        <f t="shared" si="0"/>
        <v>10</v>
      </c>
      <c r="H8" s="3" t="s">
        <v>411</v>
      </c>
    </row>
    <row r="9" spans="1:14" ht="28.8">
      <c r="A9" t="str">
        <f>_xlfn.XLOOKUP(B9,DEPARTMENT_DATA!$E$2:$E$24,DEPARTMENT_DATA!$C$2:$C$24)</f>
        <v>DEP-ENG-CSE</v>
      </c>
      <c r="B9" t="s">
        <v>13</v>
      </c>
      <c r="C9" t="s">
        <v>193</v>
      </c>
      <c r="D9" s="3" t="s">
        <v>139</v>
      </c>
      <c r="E9" s="3" t="s">
        <v>97</v>
      </c>
      <c r="F9" s="3" t="str" cm="1">
        <f t="array" ref="F9">_xlfn.IFS(
ISNUMBER(SEARCH("Integrated",E9)), "5",
ISNUMBER(SEARCH("Bachelor of Technology",E9)), "4",
ISNUMBER(SEARCH("Bachelor of Pharmacy",E9)), "4",
ISNUMBER(SEARCH("Bachelor of Science in Agriculture",E9)), "4",
ISNUMBER(SEARCH("Bachelor of Arts and Bachelor of Laws",E9)), "5",
ISNUMBER(SEARCH("Bachelor of Business Administration and Bachelor of Laws",E9)), "5",
ISNUMBER(SEARCH("Master of Laws",E9)), "1",
ISNUMBER(SEARCH("Master",E9)), "2",
ISNUMBER(SEARCH("Bachelor",E9)), "3"
)</f>
        <v>2</v>
      </c>
      <c r="G9" s="3">
        <f t="shared" si="0"/>
        <v>4</v>
      </c>
      <c r="H9" s="3" t="s">
        <v>411</v>
      </c>
    </row>
    <row r="10" spans="1:14">
      <c r="A10" t="str">
        <f>_xlfn.XLOOKUP(B10,DEPARTMENT_DATA!$E$2:$E$24,DEPARTMENT_DATA!$C$2:$C$24)</f>
        <v>DEP-ENG-CSE</v>
      </c>
      <c r="B10" t="s">
        <v>13</v>
      </c>
      <c r="C10" t="s">
        <v>194</v>
      </c>
      <c r="D10" s="3" t="s">
        <v>75</v>
      </c>
      <c r="E10" s="3" t="s">
        <v>98</v>
      </c>
      <c r="F10" s="3" t="str" cm="1">
        <f t="array" ref="F10">_xlfn.IFS(
ISNUMBER(SEARCH("Integrated",E10)), "5",
ISNUMBER(SEARCH("Bachelor of Technology",E10)), "4",
ISNUMBER(SEARCH("Bachelor of Pharmacy",E10)), "4",
ISNUMBER(SEARCH("Bachelor of Science in Agriculture",E10)), "4",
ISNUMBER(SEARCH("Bachelor of Arts and Bachelor of Laws",E10)), "5",
ISNUMBER(SEARCH("Bachelor of Business Administration and Bachelor of Laws",E10)), "5",
ISNUMBER(SEARCH("Master of Laws",E10)), "1",
ISNUMBER(SEARCH("Master",E10)), "2",
ISNUMBER(SEARCH("Bachelor",E10)), "3"
)</f>
        <v>3</v>
      </c>
      <c r="G10" s="3">
        <f t="shared" si="0"/>
        <v>6</v>
      </c>
      <c r="H10" s="3" t="s">
        <v>411</v>
      </c>
    </row>
    <row r="11" spans="1:14">
      <c r="A11" t="str">
        <f>_xlfn.XLOOKUP(B11,DEPARTMENT_DATA!$E$2:$E$24,DEPARTMENT_DATA!$C$2:$C$24)</f>
        <v>DEP-ENG-CSE</v>
      </c>
      <c r="B11" t="s">
        <v>13</v>
      </c>
      <c r="C11" t="s">
        <v>195</v>
      </c>
      <c r="D11" s="3" t="s">
        <v>76</v>
      </c>
      <c r="E11" s="3" t="s">
        <v>99</v>
      </c>
      <c r="F11" s="3" t="str" cm="1">
        <f t="array" ref="F11">_xlfn.IFS(
ISNUMBER(SEARCH("Integrated",E11)), "5",
ISNUMBER(SEARCH("Bachelor of Technology",E11)), "4",
ISNUMBER(SEARCH("Bachelor of Pharmacy",E11)), "4",
ISNUMBER(SEARCH("Bachelor of Science in Agriculture",E11)), "4",
ISNUMBER(SEARCH("Bachelor of Arts and Bachelor of Laws",E11)), "5",
ISNUMBER(SEARCH("Bachelor of Business Administration and Bachelor of Laws",E11)), "5",
ISNUMBER(SEARCH("Master of Laws",E11)), "1",
ISNUMBER(SEARCH("Master",E11)), "2",
ISNUMBER(SEARCH("Bachelor",E11)), "3"
)</f>
        <v>2</v>
      </c>
      <c r="G11" s="3">
        <f t="shared" si="0"/>
        <v>4</v>
      </c>
      <c r="H11" s="3" t="s">
        <v>411</v>
      </c>
    </row>
    <row r="12" spans="1:14" ht="28.8">
      <c r="A12" t="str">
        <f>_xlfn.XLOOKUP(B12,DEPARTMENT_DATA!$E$2:$E$24,DEPARTMENT_DATA!$C$2:$C$24)</f>
        <v>DEP-ENG-IT</v>
      </c>
      <c r="B12" t="s">
        <v>14</v>
      </c>
      <c r="C12" t="s">
        <v>196</v>
      </c>
      <c r="D12" s="3" t="s">
        <v>140</v>
      </c>
      <c r="E12" s="3" t="s">
        <v>100</v>
      </c>
      <c r="F12" s="3" t="str" cm="1">
        <f t="array" ref="F12">_xlfn.IFS(
ISNUMBER(SEARCH("Integrated",E12)), "5",
ISNUMBER(SEARCH("Bachelor of Technology",E12)), "4",
ISNUMBER(SEARCH("Bachelor of Pharmacy",E12)), "4",
ISNUMBER(SEARCH("Bachelor of Science in Agriculture",E12)), "4",
ISNUMBER(SEARCH("Bachelor of Arts and Bachelor of Laws",E12)), "5",
ISNUMBER(SEARCH("Bachelor of Business Administration and Bachelor of Laws",E12)), "5",
ISNUMBER(SEARCH("Master of Laws",E12)), "1",
ISNUMBER(SEARCH("Master",E12)), "2",
ISNUMBER(SEARCH("Bachelor",E12)), "3"
)</f>
        <v>4</v>
      </c>
      <c r="G12" s="3">
        <f t="shared" si="0"/>
        <v>8</v>
      </c>
      <c r="H12" s="3" t="s">
        <v>411</v>
      </c>
    </row>
    <row r="13" spans="1:14">
      <c r="A13" t="str">
        <f>_xlfn.XLOOKUP(B13,DEPARTMENT_DATA!$E$2:$E$24,DEPARTMENT_DATA!$C$2:$C$24)</f>
        <v>DEP-ENG-IT</v>
      </c>
      <c r="B13" t="s">
        <v>14</v>
      </c>
      <c r="C13" t="s">
        <v>197</v>
      </c>
      <c r="D13" s="3" t="s">
        <v>141</v>
      </c>
      <c r="E13" s="3" t="s">
        <v>101</v>
      </c>
      <c r="F13" s="3" t="str" cm="1">
        <f t="array" ref="F13">_xlfn.IFS(
ISNUMBER(SEARCH("Integrated",E13)), "5",
ISNUMBER(SEARCH("Bachelor of Technology",E13)), "4",
ISNUMBER(SEARCH("Bachelor of Pharmacy",E13)), "4",
ISNUMBER(SEARCH("Bachelor of Science in Agriculture",E13)), "4",
ISNUMBER(SEARCH("Bachelor of Arts and Bachelor of Laws",E13)), "5",
ISNUMBER(SEARCH("Bachelor of Business Administration and Bachelor of Laws",E13)), "5",
ISNUMBER(SEARCH("Master of Laws",E13)), "1",
ISNUMBER(SEARCH("Master",E13)), "2",
ISNUMBER(SEARCH("Bachelor",E13)), "3"
)</f>
        <v>2</v>
      </c>
      <c r="G13" s="3">
        <f t="shared" si="0"/>
        <v>4</v>
      </c>
      <c r="H13" s="3" t="s">
        <v>411</v>
      </c>
    </row>
    <row r="14" spans="1:14" ht="28.8">
      <c r="A14" t="str">
        <f>_xlfn.XLOOKUP(B14,DEPARTMENT_DATA!$E$2:$E$24,DEPARTMENT_DATA!$C$2:$C$24)</f>
        <v>DEP-ENG-RA</v>
      </c>
      <c r="B14" t="s">
        <v>15</v>
      </c>
      <c r="C14" t="s">
        <v>198</v>
      </c>
      <c r="D14" s="3" t="s">
        <v>142</v>
      </c>
      <c r="E14" s="3" t="s">
        <v>102</v>
      </c>
      <c r="F14" s="3" t="str" cm="1">
        <f t="array" ref="F14">_xlfn.IFS(
ISNUMBER(SEARCH("Integrated",E14)), "5",
ISNUMBER(SEARCH("Bachelor of Technology",E14)), "4",
ISNUMBER(SEARCH("Bachelor of Pharmacy",E14)), "4",
ISNUMBER(SEARCH("Bachelor of Science in Agriculture",E14)), "4",
ISNUMBER(SEARCH("Bachelor of Arts and Bachelor of Laws",E14)), "5",
ISNUMBER(SEARCH("Bachelor of Business Administration and Bachelor of Laws",E14)), "5",
ISNUMBER(SEARCH("Master of Laws",E14)), "1",
ISNUMBER(SEARCH("Master",E14)), "2",
ISNUMBER(SEARCH("Bachelor",E14)), "3"
)</f>
        <v>4</v>
      </c>
      <c r="G14" s="3">
        <f t="shared" si="0"/>
        <v>8</v>
      </c>
      <c r="H14" s="3" t="s">
        <v>411</v>
      </c>
    </row>
    <row r="15" spans="1:14" ht="28.8">
      <c r="A15" t="str">
        <f>_xlfn.XLOOKUP(B15,DEPARTMENT_DATA!$E$2:$E$24,DEPARTMENT_DATA!$C$2:$C$24)</f>
        <v>DEP-ENG-AE</v>
      </c>
      <c r="B15" t="s">
        <v>16</v>
      </c>
      <c r="C15" t="s">
        <v>199</v>
      </c>
      <c r="D15" s="3" t="s">
        <v>143</v>
      </c>
      <c r="E15" s="3" t="s">
        <v>103</v>
      </c>
      <c r="F15" s="3" t="str" cm="1">
        <f t="array" ref="F15">_xlfn.IFS(
ISNUMBER(SEARCH("Integrated",E15)), "5",
ISNUMBER(SEARCH("Bachelor of Technology",E15)), "4",
ISNUMBER(SEARCH("Bachelor of Pharmacy",E15)), "4",
ISNUMBER(SEARCH("Bachelor of Science in Agriculture",E15)), "4",
ISNUMBER(SEARCH("Bachelor of Arts and Bachelor of Laws",E15)), "5",
ISNUMBER(SEARCH("Bachelor of Business Administration and Bachelor of Laws",E15)), "5",
ISNUMBER(SEARCH("Master of Laws",E15)), "1",
ISNUMBER(SEARCH("Master",E15)), "2",
ISNUMBER(SEARCH("Bachelor",E15)), "3"
)</f>
        <v>4</v>
      </c>
      <c r="G15" s="3">
        <f t="shared" si="0"/>
        <v>8</v>
      </c>
      <c r="H15" s="3" t="s">
        <v>411</v>
      </c>
    </row>
    <row r="16" spans="1:14">
      <c r="A16" t="str">
        <f>_xlfn.XLOOKUP(B16,DEPARTMENT_DATA!$E$2:$E$24,DEPARTMENT_DATA!$C$2:$C$24)</f>
        <v>DEP-ENG-CE</v>
      </c>
      <c r="B16" t="s">
        <v>17</v>
      </c>
      <c r="C16" t="s">
        <v>200</v>
      </c>
      <c r="D16" s="3" t="s">
        <v>144</v>
      </c>
      <c r="E16" s="3" t="s">
        <v>104</v>
      </c>
      <c r="F16" s="3" t="str" cm="1">
        <f t="array" ref="F16">_xlfn.IFS(
ISNUMBER(SEARCH("Integrated",E16)), "5",
ISNUMBER(SEARCH("Bachelor of Technology",E16)), "4",
ISNUMBER(SEARCH("Bachelor of Pharmacy",E16)), "4",
ISNUMBER(SEARCH("Bachelor of Science in Agriculture",E16)), "4",
ISNUMBER(SEARCH("Bachelor of Arts and Bachelor of Laws",E16)), "5",
ISNUMBER(SEARCH("Bachelor of Business Administration and Bachelor of Laws",E16)), "5",
ISNUMBER(SEARCH("Master of Laws",E16)), "1",
ISNUMBER(SEARCH("Master",E16)), "2",
ISNUMBER(SEARCH("Bachelor",E16)), "3"
)</f>
        <v>4</v>
      </c>
      <c r="G16" s="3">
        <f t="shared" si="0"/>
        <v>8</v>
      </c>
      <c r="H16" s="3" t="s">
        <v>411</v>
      </c>
    </row>
    <row r="17" spans="1:8">
      <c r="A17" t="str">
        <f>_xlfn.XLOOKUP(B17,DEPARTMENT_DATA!$E$2:$E$24,DEPARTMENT_DATA!$C$2:$C$24)</f>
        <v>DEP-ENG-CE</v>
      </c>
      <c r="B17" t="s">
        <v>17</v>
      </c>
      <c r="C17" t="s">
        <v>201</v>
      </c>
      <c r="D17" s="3" t="s">
        <v>145</v>
      </c>
      <c r="E17" s="3" t="s">
        <v>105</v>
      </c>
      <c r="F17" s="3" t="str" cm="1">
        <f t="array" ref="F17">_xlfn.IFS(
ISNUMBER(SEARCH("Integrated",E17)), "5",
ISNUMBER(SEARCH("Bachelor of Technology",E17)), "4",
ISNUMBER(SEARCH("Bachelor of Pharmacy",E17)), "4",
ISNUMBER(SEARCH("Bachelor of Science in Agriculture",E17)), "4",
ISNUMBER(SEARCH("Bachelor of Arts and Bachelor of Laws",E17)), "5",
ISNUMBER(SEARCH("Bachelor of Business Administration and Bachelor of Laws",E17)), "5",
ISNUMBER(SEARCH("Master of Laws",E17)), "1",
ISNUMBER(SEARCH("Master",E17)), "2",
ISNUMBER(SEARCH("Bachelor",E17)), "3"
)</f>
        <v>2</v>
      </c>
      <c r="G17" s="3">
        <f t="shared" si="0"/>
        <v>4</v>
      </c>
      <c r="H17" s="3" t="s">
        <v>411</v>
      </c>
    </row>
    <row r="18" spans="1:8" ht="28.8">
      <c r="A18" t="str">
        <f>_xlfn.XLOOKUP(B18,DEPARTMENT_DATA!$E$2:$E$24,DEPARTMENT_DATA!$C$2:$C$24)</f>
        <v>DEP-ENG-ECE</v>
      </c>
      <c r="B18" t="s">
        <v>18</v>
      </c>
      <c r="C18" t="s">
        <v>202</v>
      </c>
      <c r="D18" s="3" t="s">
        <v>146</v>
      </c>
      <c r="E18" s="3" t="s">
        <v>106</v>
      </c>
      <c r="F18" s="3" t="str" cm="1">
        <f t="array" ref="F18">_xlfn.IFS(
ISNUMBER(SEARCH("Integrated",E18)), "5",
ISNUMBER(SEARCH("Bachelor of Technology",E18)), "4",
ISNUMBER(SEARCH("Bachelor of Pharmacy",E18)), "4",
ISNUMBER(SEARCH("Bachelor of Science in Agriculture",E18)), "4",
ISNUMBER(SEARCH("Bachelor of Arts and Bachelor of Laws",E18)), "5",
ISNUMBER(SEARCH("Bachelor of Business Administration and Bachelor of Laws",E18)), "5",
ISNUMBER(SEARCH("Master of Laws",E18)), "1",
ISNUMBER(SEARCH("Master",E18)), "2",
ISNUMBER(SEARCH("Bachelor",E18)), "3"
)</f>
        <v>4</v>
      </c>
      <c r="G18" s="3">
        <f t="shared" si="0"/>
        <v>8</v>
      </c>
      <c r="H18" s="3" t="s">
        <v>411</v>
      </c>
    </row>
    <row r="19" spans="1:8" ht="28.8">
      <c r="A19" t="str">
        <f>_xlfn.XLOOKUP(B19,DEPARTMENT_DATA!$E$2:$E$24,DEPARTMENT_DATA!$C$2:$C$24)</f>
        <v>DEP-ENG-ECE</v>
      </c>
      <c r="B19" t="s">
        <v>18</v>
      </c>
      <c r="C19" t="s">
        <v>203</v>
      </c>
      <c r="D19" s="3" t="s">
        <v>147</v>
      </c>
      <c r="E19" s="3" t="s">
        <v>107</v>
      </c>
      <c r="F19" s="3" t="str" cm="1">
        <f t="array" ref="F19">_xlfn.IFS(
ISNUMBER(SEARCH("Integrated",E19)), "5",
ISNUMBER(SEARCH("Bachelor of Technology",E19)), "4",
ISNUMBER(SEARCH("Bachelor of Pharmacy",E19)), "4",
ISNUMBER(SEARCH("Bachelor of Science in Agriculture",E19)), "4",
ISNUMBER(SEARCH("Bachelor of Arts and Bachelor of Laws",E19)), "5",
ISNUMBER(SEARCH("Bachelor of Business Administration and Bachelor of Laws",E19)), "5",
ISNUMBER(SEARCH("Master of Laws",E19)), "1",
ISNUMBER(SEARCH("Master",E19)), "2",
ISNUMBER(SEARCH("Bachelor",E19)), "3"
)</f>
        <v>2</v>
      </c>
      <c r="G19" s="3">
        <f t="shared" si="0"/>
        <v>4</v>
      </c>
      <c r="H19" s="3" t="s">
        <v>411</v>
      </c>
    </row>
    <row r="20" spans="1:8">
      <c r="A20" t="str">
        <f>_xlfn.XLOOKUP(B20,DEPARTMENT_DATA!$E$2:$E$24,DEPARTMENT_DATA!$C$2:$C$24)</f>
        <v>DEP-ENG-EE</v>
      </c>
      <c r="B20" t="s">
        <v>19</v>
      </c>
      <c r="C20" t="s">
        <v>204</v>
      </c>
      <c r="D20" s="3" t="s">
        <v>148</v>
      </c>
      <c r="E20" s="3" t="s">
        <v>108</v>
      </c>
      <c r="F20" s="3" t="str" cm="1">
        <f t="array" ref="F20">_xlfn.IFS(
ISNUMBER(SEARCH("Integrated",E20)), "5",
ISNUMBER(SEARCH("Bachelor of Technology",E20)), "4",
ISNUMBER(SEARCH("Bachelor of Pharmacy",E20)), "4",
ISNUMBER(SEARCH("Bachelor of Science in Agriculture",E20)), "4",
ISNUMBER(SEARCH("Bachelor of Arts and Bachelor of Laws",E20)), "5",
ISNUMBER(SEARCH("Bachelor of Business Administration and Bachelor of Laws",E20)), "5",
ISNUMBER(SEARCH("Master of Laws",E20)), "1",
ISNUMBER(SEARCH("Master",E20)), "2",
ISNUMBER(SEARCH("Bachelor",E20)), "3"
)</f>
        <v>4</v>
      </c>
      <c r="G20" s="3">
        <f t="shared" si="0"/>
        <v>8</v>
      </c>
      <c r="H20" s="3" t="s">
        <v>411</v>
      </c>
    </row>
    <row r="21" spans="1:8">
      <c r="A21" t="str">
        <f>_xlfn.XLOOKUP(B21,DEPARTMENT_DATA!$E$2:$E$24,DEPARTMENT_DATA!$C$2:$C$24)</f>
        <v>DEP-ENG-EE</v>
      </c>
      <c r="B21" t="s">
        <v>19</v>
      </c>
      <c r="C21" t="s">
        <v>205</v>
      </c>
      <c r="D21" s="3" t="s">
        <v>149</v>
      </c>
      <c r="E21" s="3" t="s">
        <v>109</v>
      </c>
      <c r="F21" s="3" t="str" cm="1">
        <f t="array" ref="F21">_xlfn.IFS(
ISNUMBER(SEARCH("Integrated",E21)), "5",
ISNUMBER(SEARCH("Bachelor of Technology",E21)), "4",
ISNUMBER(SEARCH("Bachelor of Pharmacy",E21)), "4",
ISNUMBER(SEARCH("Bachelor of Science in Agriculture",E21)), "4",
ISNUMBER(SEARCH("Bachelor of Arts and Bachelor of Laws",E21)), "5",
ISNUMBER(SEARCH("Bachelor of Business Administration and Bachelor of Laws",E21)), "5",
ISNUMBER(SEARCH("Master of Laws",E21)), "1",
ISNUMBER(SEARCH("Master",E21)), "2",
ISNUMBER(SEARCH("Bachelor",E21)), "3"
)</f>
        <v>2</v>
      </c>
      <c r="G21" s="3">
        <f t="shared" si="0"/>
        <v>4</v>
      </c>
      <c r="H21" s="3" t="s">
        <v>411</v>
      </c>
    </row>
    <row r="22" spans="1:8" ht="28.8">
      <c r="A22" t="str">
        <f>_xlfn.XLOOKUP(B22,DEPARTMENT_DATA!$E$2:$E$24,DEPARTMENT_DATA!$C$2:$C$24)</f>
        <v>DEP-ENG-ME</v>
      </c>
      <c r="B22" t="s">
        <v>20</v>
      </c>
      <c r="C22" t="s">
        <v>206</v>
      </c>
      <c r="D22" s="3" t="s">
        <v>150</v>
      </c>
      <c r="E22" s="3" t="s">
        <v>110</v>
      </c>
      <c r="F22" s="3" t="str" cm="1">
        <f t="array" ref="F22">_xlfn.IFS(
ISNUMBER(SEARCH("Integrated",E22)), "5",
ISNUMBER(SEARCH("Bachelor of Technology",E22)), "4",
ISNUMBER(SEARCH("Bachelor of Pharmacy",E22)), "4",
ISNUMBER(SEARCH("Bachelor of Science in Agriculture",E22)), "4",
ISNUMBER(SEARCH("Bachelor of Arts and Bachelor of Laws",E22)), "5",
ISNUMBER(SEARCH("Bachelor of Business Administration and Bachelor of Laws",E22)), "5",
ISNUMBER(SEARCH("Master of Laws",E22)), "1",
ISNUMBER(SEARCH("Master",E22)), "2",
ISNUMBER(SEARCH("Bachelor",E22)), "3"
)</f>
        <v>4</v>
      </c>
      <c r="G22" s="3">
        <f t="shared" si="0"/>
        <v>8</v>
      </c>
      <c r="H22" s="3" t="s">
        <v>411</v>
      </c>
    </row>
    <row r="23" spans="1:8">
      <c r="A23" t="str">
        <f>_xlfn.XLOOKUP(B23,DEPARTMENT_DATA!$E$2:$E$24,DEPARTMENT_DATA!$C$2:$C$24)</f>
        <v>DEP-ENG-ME</v>
      </c>
      <c r="B23" t="s">
        <v>20</v>
      </c>
      <c r="C23" t="s">
        <v>207</v>
      </c>
      <c r="D23" s="3" t="s">
        <v>151</v>
      </c>
      <c r="E23" s="3" t="s">
        <v>111</v>
      </c>
      <c r="F23" s="3" t="str" cm="1">
        <f t="array" ref="F23">_xlfn.IFS(
ISNUMBER(SEARCH("Integrated",E23)), "5",
ISNUMBER(SEARCH("Bachelor of Technology",E23)), "4",
ISNUMBER(SEARCH("Bachelor of Pharmacy",E23)), "4",
ISNUMBER(SEARCH("Bachelor of Science in Agriculture",E23)), "4",
ISNUMBER(SEARCH("Bachelor of Arts and Bachelor of Laws",E23)), "5",
ISNUMBER(SEARCH("Bachelor of Business Administration and Bachelor of Laws",E23)), "5",
ISNUMBER(SEARCH("Master of Laws",E23)), "1",
ISNUMBER(SEARCH("Master",E23)), "2",
ISNUMBER(SEARCH("Bachelor",E23)), "3"
)</f>
        <v>2</v>
      </c>
      <c r="G23" s="3">
        <f t="shared" si="0"/>
        <v>4</v>
      </c>
      <c r="H23" s="3" t="s">
        <v>411</v>
      </c>
    </row>
    <row r="24" spans="1:8">
      <c r="A24" t="str">
        <f>_xlfn.XLOOKUP(B24,DEPARTMENT_DATA!$E$2:$E$24,DEPARTMENT_DATA!$C$2:$C$24)</f>
        <v>DEP-ENG-NT</v>
      </c>
      <c r="B24" t="s">
        <v>21</v>
      </c>
      <c r="C24" t="s">
        <v>208</v>
      </c>
      <c r="D24" s="3" t="s">
        <v>152</v>
      </c>
      <c r="E24" s="3" t="s">
        <v>112</v>
      </c>
      <c r="F24" s="3" t="str" cm="1">
        <f t="array" ref="F24">_xlfn.IFS(
ISNUMBER(SEARCH("Integrated",E24)), "5",
ISNUMBER(SEARCH("Bachelor of Technology",E24)), "4",
ISNUMBER(SEARCH("Bachelor of Pharmacy",E24)), "4",
ISNUMBER(SEARCH("Bachelor of Science in Agriculture",E24)), "4",
ISNUMBER(SEARCH("Bachelor of Arts and Bachelor of Laws",E24)), "5",
ISNUMBER(SEARCH("Bachelor of Business Administration and Bachelor of Laws",E24)), "5",
ISNUMBER(SEARCH("Master of Laws",E24)), "1",
ISNUMBER(SEARCH("Master",E24)), "2",
ISNUMBER(SEARCH("Bachelor",E24)), "3"
)</f>
        <v>2</v>
      </c>
      <c r="G24" s="3">
        <f t="shared" si="0"/>
        <v>4</v>
      </c>
      <c r="H24" s="3" t="s">
        <v>411</v>
      </c>
    </row>
    <row r="25" spans="1:8">
      <c r="A25" t="str">
        <f>_xlfn.XLOOKUP(B25,DEPARTMENT_DATA!$E$2:$E$24,DEPARTMENT_DATA!$C$2:$C$24)</f>
        <v>DEP-LAW-LS</v>
      </c>
      <c r="B25" t="s">
        <v>56</v>
      </c>
      <c r="C25" t="s">
        <v>209</v>
      </c>
      <c r="D25" s="3" t="s">
        <v>153</v>
      </c>
      <c r="E25" s="3" t="s">
        <v>113</v>
      </c>
      <c r="F25" s="3" t="str" cm="1">
        <f t="array" ref="F25">_xlfn.IFS(
ISNUMBER(SEARCH("Integrated",E25)), "5",
ISNUMBER(SEARCH("Bachelor of Technology",E25)), "4",
ISNUMBER(SEARCH("Bachelor of Pharmacy",E25)), "4",
ISNUMBER(SEARCH("Bachelor of Science in Agriculture",E25)), "4",
ISNUMBER(SEARCH("Bachelor of Arts and Bachelor of Laws",E25)), "5",
ISNUMBER(SEARCH("Bachelor of Business Administration and Bachelor of Laws",E25)), "5",
ISNUMBER(SEARCH("Master of Laws",E25)), "1",
ISNUMBER(SEARCH("Master",E25)), "2",
ISNUMBER(SEARCH("Bachelor",E25)), "3"
)</f>
        <v>5</v>
      </c>
      <c r="G25" s="3">
        <f t="shared" si="0"/>
        <v>10</v>
      </c>
      <c r="H25" s="3" t="s">
        <v>411</v>
      </c>
    </row>
    <row r="26" spans="1:8" ht="28.8">
      <c r="A26" t="str">
        <f>_xlfn.XLOOKUP(B26,DEPARTMENT_DATA!$E$2:$E$24,DEPARTMENT_DATA!$C$2:$C$24)</f>
        <v>DEP-LAW-LS</v>
      </c>
      <c r="B26" t="s">
        <v>56</v>
      </c>
      <c r="C26" t="s">
        <v>210</v>
      </c>
      <c r="D26" s="3" t="s">
        <v>154</v>
      </c>
      <c r="E26" s="3" t="s">
        <v>114</v>
      </c>
      <c r="F26" s="3" t="str" cm="1">
        <f t="array" ref="F26">_xlfn.IFS(
ISNUMBER(SEARCH("Integrated",E26)), "5",
ISNUMBER(SEARCH("Bachelor of Technology",E26)), "4",
ISNUMBER(SEARCH("Bachelor of Pharmacy",E26)), "4",
ISNUMBER(SEARCH("Bachelor of Science in Agriculture",E26)), "4",
ISNUMBER(SEARCH("Bachelor of Arts and Bachelor of Laws",E26)), "5",
ISNUMBER(SEARCH("Bachelor of Business Administration and Bachelor of Laws",E26)), "5",
ISNUMBER(SEARCH("Master of Laws",E26)), "1",
ISNUMBER(SEARCH("Master",E26)), "2",
ISNUMBER(SEARCH("Bachelor",E26)), "3"
)</f>
        <v>5</v>
      </c>
      <c r="G26" s="3">
        <f t="shared" si="0"/>
        <v>10</v>
      </c>
      <c r="H26" s="3" t="s">
        <v>411</v>
      </c>
    </row>
    <row r="27" spans="1:8">
      <c r="A27" t="str">
        <f>_xlfn.XLOOKUP(B27,DEPARTMENT_DATA!$E$2:$E$24,DEPARTMENT_DATA!$C$2:$C$24)</f>
        <v>DEP-LAW-LS</v>
      </c>
      <c r="B27" t="s">
        <v>56</v>
      </c>
      <c r="C27" t="s">
        <v>211</v>
      </c>
      <c r="D27" s="3" t="s">
        <v>155</v>
      </c>
      <c r="E27" s="3" t="s">
        <v>115</v>
      </c>
      <c r="F27" s="3" t="str" cm="1">
        <f t="array" ref="F27">_xlfn.IFS(
ISNUMBER(SEARCH("Integrated",E27)), "5",
ISNUMBER(SEARCH("Bachelor of Technology",E27)), "4",
ISNUMBER(SEARCH("Bachelor of Pharmacy",E27)), "4",
ISNUMBER(SEARCH("Bachelor of Science in Agriculture",E27)), "4",
ISNUMBER(SEARCH("Bachelor of Arts and Bachelor of Laws",E27)), "5",
ISNUMBER(SEARCH("Bachelor of Business Administration and Bachelor of Laws",E27)), "5",
ISNUMBER(SEARCH("Master of Laws",E27)), "1",
ISNUMBER(SEARCH("Master",E27)), "2",
ISNUMBER(SEARCH("Bachelor",E27)), "3"
)</f>
        <v>3</v>
      </c>
      <c r="G27" s="3">
        <f t="shared" si="0"/>
        <v>6</v>
      </c>
      <c r="H27" s="3" t="s">
        <v>411</v>
      </c>
    </row>
    <row r="28" spans="1:8">
      <c r="A28" t="str">
        <f>_xlfn.XLOOKUP(B28,DEPARTMENT_DATA!$E$2:$E$24,DEPARTMENT_DATA!$C$2:$C$24)</f>
        <v>DEP-LAW-LS</v>
      </c>
      <c r="B28" t="s">
        <v>56</v>
      </c>
      <c r="C28" t="s">
        <v>212</v>
      </c>
      <c r="D28" s="3" t="s">
        <v>80</v>
      </c>
      <c r="E28" s="3" t="s">
        <v>116</v>
      </c>
      <c r="F28" s="3" t="str" cm="1">
        <f t="array" ref="F28">_xlfn.IFS(
ISNUMBER(SEARCH("Integrated",E28)), "5",
ISNUMBER(SEARCH("Bachelor of Technology",E28)), "4",
ISNUMBER(SEARCH("Bachelor of Pharmacy",E28)), "4",
ISNUMBER(SEARCH("Bachelor of Science in Agriculture",E28)), "4",
ISNUMBER(SEARCH("Bachelor of Arts and Bachelor of Laws",E28)), "5",
ISNUMBER(SEARCH("Bachelor of Business Administration and Bachelor of Laws",E28)), "5",
ISNUMBER(SEARCH("Master of Laws",E28)), "1",
ISNUMBER(SEARCH("Master",E28)), "2",
ISNUMBER(SEARCH("Bachelor",E28)), "3"
)</f>
        <v>1</v>
      </c>
      <c r="G28" s="3">
        <f t="shared" si="0"/>
        <v>2</v>
      </c>
      <c r="H28" s="3" t="s">
        <v>411</v>
      </c>
    </row>
    <row r="29" spans="1:8">
      <c r="A29" t="str">
        <f>_xlfn.XLOOKUP(B29,DEPARTMENT_DATA!$E$2:$E$24,DEPARTMENT_DATA!$C$2:$C$24)</f>
        <v>DEP-MGT-BA</v>
      </c>
      <c r="B29" t="s">
        <v>58</v>
      </c>
      <c r="C29" t="s">
        <v>213</v>
      </c>
      <c r="D29" s="3" t="s">
        <v>78</v>
      </c>
      <c r="E29" s="3" t="s">
        <v>117</v>
      </c>
      <c r="F29" s="3" t="str" cm="1">
        <f t="array" ref="F29">_xlfn.IFS(
ISNUMBER(SEARCH("Integrated",E29)), "5",
ISNUMBER(SEARCH("Bachelor of Technology",E29)), "4",
ISNUMBER(SEARCH("Bachelor of Pharmacy",E29)), "4",
ISNUMBER(SEARCH("Bachelor of Science in Agriculture",E29)), "4",
ISNUMBER(SEARCH("Bachelor of Arts and Bachelor of Laws",E29)), "5",
ISNUMBER(SEARCH("Bachelor of Business Administration and Bachelor of Laws",E29)), "5",
ISNUMBER(SEARCH("Master of Laws",E29)), "1",
ISNUMBER(SEARCH("Master",E29)), "2",
ISNUMBER(SEARCH("Bachelor",E29)), "3"
)</f>
        <v>3</v>
      </c>
      <c r="G29" s="3">
        <f t="shared" si="0"/>
        <v>6</v>
      </c>
      <c r="H29" s="3" t="s">
        <v>411</v>
      </c>
    </row>
    <row r="30" spans="1:8" ht="28.8">
      <c r="A30" t="str">
        <f>_xlfn.XLOOKUP(B30,DEPARTMENT_DATA!$E$2:$E$24,DEPARTMENT_DATA!$C$2:$C$24)</f>
        <v>DEP-MGT-BA</v>
      </c>
      <c r="B30" t="s">
        <v>58</v>
      </c>
      <c r="C30" t="s">
        <v>214</v>
      </c>
      <c r="D30" s="3" t="s">
        <v>156</v>
      </c>
      <c r="E30" s="3" t="s">
        <v>118</v>
      </c>
      <c r="F30" s="3" t="str" cm="1">
        <f t="array" ref="F30">_xlfn.IFS(
ISNUMBER(SEARCH("Integrated",E30)), "5",
ISNUMBER(SEARCH("Bachelor of Technology",E30)), "4",
ISNUMBER(SEARCH("Bachelor of Pharmacy",E30)), "4",
ISNUMBER(SEARCH("Bachelor of Science in Agriculture",E30)), "4",
ISNUMBER(SEARCH("Bachelor of Arts and Bachelor of Laws",E30)), "5",
ISNUMBER(SEARCH("Bachelor of Business Administration and Bachelor of Laws",E30)), "5",
ISNUMBER(SEARCH("Master of Laws",E30)), "1",
ISNUMBER(SEARCH("Master",E30)), "2",
ISNUMBER(SEARCH("Bachelor",E30)), "3"
)</f>
        <v>3</v>
      </c>
      <c r="G30" s="3">
        <f t="shared" si="0"/>
        <v>6</v>
      </c>
      <c r="H30" s="3" t="s">
        <v>411</v>
      </c>
    </row>
    <row r="31" spans="1:8">
      <c r="A31" t="str">
        <f>_xlfn.XLOOKUP(B31,DEPARTMENT_DATA!$E$2:$E$24,DEPARTMENT_DATA!$C$2:$C$24)</f>
        <v>DEP-MGT-BA</v>
      </c>
      <c r="B31" t="s">
        <v>58</v>
      </c>
      <c r="C31" t="s">
        <v>215</v>
      </c>
      <c r="D31" s="3" t="s">
        <v>79</v>
      </c>
      <c r="E31" s="3" t="s">
        <v>119</v>
      </c>
      <c r="F31" s="3" t="str" cm="1">
        <f t="array" ref="F31">_xlfn.IFS(
ISNUMBER(SEARCH("Integrated",E31)), "5",
ISNUMBER(SEARCH("Bachelor of Technology",E31)), "4",
ISNUMBER(SEARCH("Bachelor of Pharmacy",E31)), "4",
ISNUMBER(SEARCH("Bachelor of Science in Agriculture",E31)), "4",
ISNUMBER(SEARCH("Bachelor of Arts and Bachelor of Laws",E31)), "5",
ISNUMBER(SEARCH("Bachelor of Business Administration and Bachelor of Laws",E31)), "5",
ISNUMBER(SEARCH("Master of Laws",E31)), "1",
ISNUMBER(SEARCH("Master",E31)), "2",
ISNUMBER(SEARCH("Bachelor",E31)), "3"
)</f>
        <v>2</v>
      </c>
      <c r="G31" s="3">
        <f t="shared" si="0"/>
        <v>4</v>
      </c>
      <c r="H31" s="3" t="s">
        <v>411</v>
      </c>
    </row>
    <row r="32" spans="1:8" ht="28.8">
      <c r="A32" t="str">
        <f>_xlfn.XLOOKUP(B32,DEPARTMENT_DATA!$E$2:$E$24,DEPARTMENT_DATA!$C$2:$C$24)</f>
        <v>DEP-MGT-BA</v>
      </c>
      <c r="B32" t="s">
        <v>58</v>
      </c>
      <c r="C32" t="s">
        <v>216</v>
      </c>
      <c r="D32" s="3" t="s">
        <v>168</v>
      </c>
      <c r="E32" s="3" t="s">
        <v>120</v>
      </c>
      <c r="F32" s="3" t="str" cm="1">
        <f t="array" ref="F32">_xlfn.IFS(
ISNUMBER(SEARCH("Integrated",E32)), "5",
ISNUMBER(SEARCH("Bachelor of Technology",E32)), "4",
ISNUMBER(SEARCH("Bachelor of Pharmacy",E32)), "4",
ISNUMBER(SEARCH("Bachelor of Science in Agriculture",E32)), "4",
ISNUMBER(SEARCH("Bachelor of Arts and Bachelor of Laws",E32)), "5",
ISNUMBER(SEARCH("Bachelor of Business Administration and Bachelor of Laws",E32)), "5",
ISNUMBER(SEARCH("Master of Laws",E32)), "1",
ISNUMBER(SEARCH("Master",E32)), "2",
ISNUMBER(SEARCH("Bachelor",E32)), "3"
)</f>
        <v>2</v>
      </c>
      <c r="G32" s="3">
        <f t="shared" si="0"/>
        <v>4</v>
      </c>
      <c r="H32" s="3" t="s">
        <v>411</v>
      </c>
    </row>
    <row r="33" spans="1:9" ht="28.8">
      <c r="A33" t="str">
        <f>_xlfn.XLOOKUP(B33,DEPARTMENT_DATA!$E$2:$E$24,DEPARTMENT_DATA!$C$2:$C$24)</f>
        <v>DEP-MGT-BA</v>
      </c>
      <c r="B33" t="s">
        <v>58</v>
      </c>
      <c r="C33" t="s">
        <v>217</v>
      </c>
      <c r="D33" s="3" t="s">
        <v>157</v>
      </c>
      <c r="E33" s="3" t="s">
        <v>121</v>
      </c>
      <c r="F33" s="3" t="str" cm="1">
        <f t="array" ref="F33">_xlfn.IFS(
ISNUMBER(SEARCH("Integrated",E33)), "5",
ISNUMBER(SEARCH("Bachelor of Technology",E33)), "4",
ISNUMBER(SEARCH("Bachelor of Pharmacy",E33)), "4",
ISNUMBER(SEARCH("Bachelor of Science in Agriculture",E33)), "4",
ISNUMBER(SEARCH("Bachelor of Arts and Bachelor of Laws",E33)), "5",
ISNUMBER(SEARCH("Bachelor of Business Administration and Bachelor of Laws",E33)), "5",
ISNUMBER(SEARCH("Master of Laws",E33)), "1",
ISNUMBER(SEARCH("Master",E33)), "2",
ISNUMBER(SEARCH("Bachelor",E33)), "3"
)</f>
        <v>2</v>
      </c>
      <c r="G33" s="3">
        <f t="shared" si="0"/>
        <v>4</v>
      </c>
      <c r="H33" s="3" t="s">
        <v>411</v>
      </c>
    </row>
    <row r="34" spans="1:9">
      <c r="A34" t="str">
        <f>_xlfn.XLOOKUP(B34,DEPARTMENT_DATA!$E$2:$E$24,DEPARTMENT_DATA!$C$2:$C$24)</f>
        <v>DEP-PHR-PH</v>
      </c>
      <c r="B34" t="s">
        <v>60</v>
      </c>
      <c r="C34" t="s">
        <v>218</v>
      </c>
      <c r="D34" s="3" t="s">
        <v>89</v>
      </c>
      <c r="E34" s="3" t="s">
        <v>122</v>
      </c>
      <c r="F34" s="3" t="str" cm="1">
        <f t="array" ref="F34">_xlfn.IFS(
ISNUMBER(SEARCH("Integrated",E34)), "5",
ISNUMBER(SEARCH("Bachelor of Technology",E34)), "4",
ISNUMBER(SEARCH("Bachelor of Pharmacy",E34)), "4",
ISNUMBER(SEARCH("Bachelor of Science in Agriculture",E34)), "4",
ISNUMBER(SEARCH("Bachelor of Arts and Bachelor of Laws",E34)), "5",
ISNUMBER(SEARCH("Bachelor of Business Administration and Bachelor of Laws",E34)), "5",
ISNUMBER(SEARCH("Master of Laws",E34)), "1",
ISNUMBER(SEARCH("Master",E34)), "2",
ISNUMBER(SEARCH("Bachelor",E34)), "3"
)</f>
        <v>4</v>
      </c>
      <c r="G34" s="3">
        <f t="shared" si="0"/>
        <v>8</v>
      </c>
      <c r="H34" s="3" t="s">
        <v>411</v>
      </c>
    </row>
    <row r="35" spans="1:9">
      <c r="A35" t="str">
        <f>_xlfn.XLOOKUP(B35,DEPARTMENT_DATA!$E$2:$E$24,DEPARTMENT_DATA!$C$2:$C$24)</f>
        <v>DEP-PHR-PH</v>
      </c>
      <c r="B35" t="s">
        <v>60</v>
      </c>
      <c r="C35" t="s">
        <v>219</v>
      </c>
      <c r="D35" s="3" t="s">
        <v>158</v>
      </c>
      <c r="E35" s="3" t="s">
        <v>123</v>
      </c>
      <c r="F35" s="3" t="str" cm="1">
        <f t="array" ref="F35">_xlfn.IFS(
ISNUMBER(SEARCH("Integrated",E35)), "5",
ISNUMBER(SEARCH("Bachelor of Technology",E35)), "4",
ISNUMBER(SEARCH("Bachelor of Pharmacy",E35)), "4",
ISNUMBER(SEARCH("Bachelor of Science in Agriculture",E35)), "4",
ISNUMBER(SEARCH("Bachelor of Arts and Bachelor of Laws",E35)), "5",
ISNUMBER(SEARCH("Bachelor of Business Administration and Bachelor of Laws",E35)), "5",
ISNUMBER(SEARCH("Master of Laws",E35)), "1",
ISNUMBER(SEARCH("Master",E35)), "2",
ISNUMBER(SEARCH("Bachelor",E35)), "3"
)</f>
        <v>2</v>
      </c>
      <c r="G35" s="3">
        <f t="shared" si="0"/>
        <v>4</v>
      </c>
      <c r="H35" s="3" t="s">
        <v>411</v>
      </c>
    </row>
    <row r="36" spans="1:9">
      <c r="A36" t="str">
        <f>_xlfn.XLOOKUP(B36,DEPARTMENT_DATA!$E$2:$E$24,DEPARTMENT_DATA!$C$2:$C$24)</f>
        <v>DEP-SCI-AG</v>
      </c>
      <c r="B36" t="s">
        <v>62</v>
      </c>
      <c r="C36" t="s">
        <v>220</v>
      </c>
      <c r="D36" s="3" t="s">
        <v>159</v>
      </c>
      <c r="E36" s="3" t="s">
        <v>124</v>
      </c>
      <c r="F36" s="3" t="str" cm="1">
        <f t="array" ref="F36">_xlfn.IFS(
ISNUMBER(SEARCH("Integrated",E36)), "5",
ISNUMBER(SEARCH("Bachelor of Technology",E36)), "4",
ISNUMBER(SEARCH("Bachelor of Pharmacy",E36)), "4",
ISNUMBER(SEARCH("Bachelor of Science in Agriculture",E36)), "4",
ISNUMBER(SEARCH("Bachelor of Arts and Bachelor of Laws",E36)), "5",
ISNUMBER(SEARCH("Bachelor of Business Administration and Bachelor of Laws",E36)), "5",
ISNUMBER(SEARCH("Master of Laws",E36)), "1",
ISNUMBER(SEARCH("Master",E36)), "2",
ISNUMBER(SEARCH("Bachelor",E36)), "3"
)</f>
        <v>4</v>
      </c>
      <c r="G36" s="3">
        <f t="shared" si="0"/>
        <v>8</v>
      </c>
      <c r="H36" s="3" t="s">
        <v>411</v>
      </c>
    </row>
    <row r="37" spans="1:9">
      <c r="A37" t="str">
        <f>_xlfn.XLOOKUP(B37,DEPARTMENT_DATA!$E$2:$E$24,DEPARTMENT_DATA!$C$2:$C$24)</f>
        <v>DEP-SCI-AG</v>
      </c>
      <c r="B37" t="s">
        <v>62</v>
      </c>
      <c r="C37" t="s">
        <v>221</v>
      </c>
      <c r="D37" s="3" t="s">
        <v>160</v>
      </c>
      <c r="E37" s="3" t="s">
        <v>125</v>
      </c>
      <c r="F37" s="3" t="str" cm="1">
        <f t="array" ref="F37">_xlfn.IFS(
ISNUMBER(SEARCH("Integrated",E37)), "5",
ISNUMBER(SEARCH("Bachelor of Technology",E37)), "4",
ISNUMBER(SEARCH("Bachelor of Pharmacy",E37)), "4",
ISNUMBER(SEARCH("Bachelor of Science in Agriculture",E37)), "4",
ISNUMBER(SEARCH("Bachelor of Arts and Bachelor of Laws",E37)), "5",
ISNUMBER(SEARCH("Bachelor of Business Administration and Bachelor of Laws",E37)), "5",
ISNUMBER(SEARCH("Master of Laws",E37)), "1",
ISNUMBER(SEARCH("Master",E37)), "2",
ISNUMBER(SEARCH("Bachelor",E37)), "3"
)</f>
        <v>2</v>
      </c>
      <c r="G37" s="3">
        <f t="shared" si="0"/>
        <v>4</v>
      </c>
      <c r="H37" s="3" t="s">
        <v>411</v>
      </c>
    </row>
    <row r="38" spans="1:9">
      <c r="A38" t="str">
        <f>_xlfn.XLOOKUP(B38,DEPARTMENT_DATA!$E$2:$E$24,DEPARTMENT_DATA!$C$2:$C$24)</f>
        <v>DEP-SCI-FS</v>
      </c>
      <c r="B38" t="s">
        <v>63</v>
      </c>
      <c r="C38" t="s">
        <v>222</v>
      </c>
      <c r="D38" s="3" t="s">
        <v>161</v>
      </c>
      <c r="E38" s="3" t="s">
        <v>126</v>
      </c>
      <c r="F38" s="3" t="str" cm="1">
        <f t="array" ref="F38">_xlfn.IFS(
ISNUMBER(SEARCH("Integrated",E38)), "5",
ISNUMBER(SEARCH("Bachelor of Technology",E38)), "4",
ISNUMBER(SEARCH("Bachelor of Pharmacy",E38)), "4",
ISNUMBER(SEARCH("Bachelor of Science in Agriculture",E38)), "4",
ISNUMBER(SEARCH("Bachelor of Arts and Bachelor of Laws",E38)), "5",
ISNUMBER(SEARCH("Bachelor of Business Administration and Bachelor of Laws",E38)), "5",
ISNUMBER(SEARCH("Master of Laws",E38)), "1",
ISNUMBER(SEARCH("Master",E38)), "2",
ISNUMBER(SEARCH("Bachelor",E38)), "3"
)</f>
        <v>3</v>
      </c>
      <c r="G38" s="3">
        <f t="shared" si="0"/>
        <v>6</v>
      </c>
      <c r="H38" s="3" t="s">
        <v>411</v>
      </c>
    </row>
    <row r="39" spans="1:9">
      <c r="A39" t="str">
        <f>_xlfn.XLOOKUP(B39,DEPARTMENT_DATA!$E$2:$E$24,DEPARTMENT_DATA!$C$2:$C$24)</f>
        <v>DEP-SCI-FS</v>
      </c>
      <c r="B39" t="s">
        <v>63</v>
      </c>
      <c r="C39" t="s">
        <v>223</v>
      </c>
      <c r="D39" s="3" t="s">
        <v>162</v>
      </c>
      <c r="E39" s="3" t="s">
        <v>127</v>
      </c>
      <c r="F39" s="3" t="str" cm="1">
        <f t="array" ref="F39">_xlfn.IFS(
ISNUMBER(SEARCH("Integrated",E39)), "5",
ISNUMBER(SEARCH("Bachelor of Technology",E39)), "4",
ISNUMBER(SEARCH("Bachelor of Pharmacy",E39)), "4",
ISNUMBER(SEARCH("Bachelor of Science in Agriculture",E39)), "4",
ISNUMBER(SEARCH("Bachelor of Arts and Bachelor of Laws",E39)), "5",
ISNUMBER(SEARCH("Bachelor of Business Administration and Bachelor of Laws",E39)), "5",
ISNUMBER(SEARCH("Master of Laws",E39)), "1",
ISNUMBER(SEARCH("Master",E39)), "2",
ISNUMBER(SEARCH("Bachelor",E39)), "3"
)</f>
        <v>2</v>
      </c>
      <c r="G39" s="3">
        <f t="shared" si="0"/>
        <v>4</v>
      </c>
      <c r="H39" s="3" t="s">
        <v>411</v>
      </c>
    </row>
    <row r="40" spans="1:9">
      <c r="A40" t="str">
        <f>_xlfn.XLOOKUP(B40,DEPARTMENT_DATA!$E$2:$E$24,DEPARTMENT_DATA!$C$2:$C$24)</f>
        <v>DEP-SCI-BT</v>
      </c>
      <c r="B40" t="s">
        <v>64</v>
      </c>
      <c r="C40" t="s">
        <v>224</v>
      </c>
      <c r="D40" s="3" t="s">
        <v>163</v>
      </c>
      <c r="E40" s="3" t="s">
        <v>128</v>
      </c>
      <c r="F40" s="3" t="str" cm="1">
        <f t="array" ref="F40">_xlfn.IFS(
ISNUMBER(SEARCH("Integrated",E40)), "5",
ISNUMBER(SEARCH("Bachelor of Technology",E40)), "4",
ISNUMBER(SEARCH("Bachelor of Pharmacy",E40)), "4",
ISNUMBER(SEARCH("Bachelor of Science in Agriculture",E40)), "4",
ISNUMBER(SEARCH("Bachelor of Arts and Bachelor of Laws",E40)), "5",
ISNUMBER(SEARCH("Bachelor of Business Administration and Bachelor of Laws",E40)), "5",
ISNUMBER(SEARCH("Master of Laws",E40)), "1",
ISNUMBER(SEARCH("Master",E40)), "2",
ISNUMBER(SEARCH("Bachelor",E40)), "3"
)</f>
        <v>3</v>
      </c>
      <c r="G40" s="3">
        <f t="shared" si="0"/>
        <v>6</v>
      </c>
      <c r="H40" s="3" t="s">
        <v>411</v>
      </c>
    </row>
    <row r="41" spans="1:9">
      <c r="A41" t="str">
        <f>_xlfn.XLOOKUP(B41,DEPARTMENT_DATA!$E$2:$E$24,DEPARTMENT_DATA!$C$2:$C$24)</f>
        <v>DEP-SCI-CSE</v>
      </c>
      <c r="B41" t="s">
        <v>65</v>
      </c>
      <c r="C41" t="s">
        <v>225</v>
      </c>
      <c r="D41" s="3" t="s">
        <v>164</v>
      </c>
      <c r="E41" s="3" t="s">
        <v>129</v>
      </c>
      <c r="F41" s="3" t="str" cm="1">
        <f t="array" ref="F41">_xlfn.IFS(
ISNUMBER(SEARCH("Integrated",E41)), "5",
ISNUMBER(SEARCH("Bachelor of Technology",E41)), "4",
ISNUMBER(SEARCH("Bachelor of Pharmacy",E41)), "4",
ISNUMBER(SEARCH("Bachelor of Science in Agriculture",E41)), "4",
ISNUMBER(SEARCH("Bachelor of Arts and Bachelor of Laws",E41)), "5",
ISNUMBER(SEARCH("Bachelor of Business Administration and Bachelor of Laws",E41)), "5",
ISNUMBER(SEARCH("Master of Laws",E41)), "1",
ISNUMBER(SEARCH("Master",E41)), "2",
ISNUMBER(SEARCH("Bachelor",E41)), "3"
)</f>
        <v>3</v>
      </c>
      <c r="G41" s="3">
        <f t="shared" si="0"/>
        <v>6</v>
      </c>
      <c r="H41" s="3" t="s">
        <v>411</v>
      </c>
    </row>
    <row r="42" spans="1:9">
      <c r="A42" t="str">
        <f>_xlfn.XLOOKUP(B42,DEPARTMENT_DATA!$E$2:$E$24,DEPARTMENT_DATA!$C$2:$C$24)</f>
        <v>DEP-SCI-PHY</v>
      </c>
      <c r="B42" t="s">
        <v>66</v>
      </c>
      <c r="C42" t="s">
        <v>226</v>
      </c>
      <c r="D42" s="3" t="s">
        <v>165</v>
      </c>
      <c r="E42" s="3" t="s">
        <v>130</v>
      </c>
      <c r="F42" s="3" t="str" cm="1">
        <f t="array" ref="F42">_xlfn.IFS(
ISNUMBER(SEARCH("Integrated",E42)), "5",
ISNUMBER(SEARCH("Bachelor of Technology",E42)), "4",
ISNUMBER(SEARCH("Bachelor of Pharmacy",E42)), "4",
ISNUMBER(SEARCH("Bachelor of Science in Agriculture",E42)), "4",
ISNUMBER(SEARCH("Bachelor of Arts and Bachelor of Laws",E42)), "5",
ISNUMBER(SEARCH("Bachelor of Business Administration and Bachelor of Laws",E42)), "5",
ISNUMBER(SEARCH("Master of Laws",E42)), "1",
ISNUMBER(SEARCH("Master",E42)), "2",
ISNUMBER(SEARCH("Bachelor",E42)), "3"
)</f>
        <v>3</v>
      </c>
      <c r="G42" s="3">
        <f t="shared" si="0"/>
        <v>6</v>
      </c>
      <c r="H42" s="3" t="s">
        <v>411</v>
      </c>
    </row>
    <row r="43" spans="1:9">
      <c r="A43" t="str">
        <f>_xlfn.XLOOKUP(B43,DEPARTMENT_DATA!$E$2:$E$24,DEPARTMENT_DATA!$C$2:$C$24)</f>
        <v>DEP-SCI-CH</v>
      </c>
      <c r="B43" t="s">
        <v>67</v>
      </c>
      <c r="C43" t="s">
        <v>227</v>
      </c>
      <c r="D43" s="3" t="s">
        <v>166</v>
      </c>
      <c r="E43" s="3" t="s">
        <v>131</v>
      </c>
      <c r="F43" s="3" t="str" cm="1">
        <f t="array" ref="F43">_xlfn.IFS(
ISNUMBER(SEARCH("Integrated",E43)), "5",
ISNUMBER(SEARCH("Bachelor of Technology",E43)), "4",
ISNUMBER(SEARCH("Bachelor of Pharmacy",E43)), "4",
ISNUMBER(SEARCH("Bachelor of Science in Agriculture",E43)), "4",
ISNUMBER(SEARCH("Bachelor of Arts and Bachelor of Laws",E43)), "5",
ISNUMBER(SEARCH("Bachelor of Business Administration and Bachelor of Laws",E43)), "5",
ISNUMBER(SEARCH("Master of Laws",E43)), "1",
ISNUMBER(SEARCH("Master",E43)), "2",
ISNUMBER(SEARCH("Bachelor",E43)), "3"
)</f>
        <v>3</v>
      </c>
      <c r="G43" s="3">
        <f t="shared" si="0"/>
        <v>6</v>
      </c>
      <c r="H43" s="3" t="s">
        <v>411</v>
      </c>
    </row>
    <row r="44" spans="1:9">
      <c r="A44" t="str">
        <f>_xlfn.XLOOKUP(B44,DEPARTMENT_DATA!$E$2:$E$24,DEPARTMENT_DATA!$C$2:$C$24)</f>
        <v>DEP-SCI-CH</v>
      </c>
      <c r="B44" t="s">
        <v>67</v>
      </c>
      <c r="C44" t="s">
        <v>228</v>
      </c>
      <c r="D44" s="3" t="s">
        <v>169</v>
      </c>
      <c r="E44" s="3" t="s">
        <v>132</v>
      </c>
      <c r="F44" s="3" t="str" cm="1">
        <f t="array" ref="F44">_xlfn.IFS(
ISNUMBER(SEARCH("Integrated",E44)), "5",
ISNUMBER(SEARCH("Bachelor of Technology",E44)), "4",
ISNUMBER(SEARCH("Bachelor of Pharmacy",E44)), "4",
ISNUMBER(SEARCH("Bachelor of Science in Agriculture",E44)), "4",
ISNUMBER(SEARCH("Bachelor of Arts and Bachelor of Laws",E44)), "5",
ISNUMBER(SEARCH("Bachelor of Business Administration and Bachelor of Laws",E44)), "5",
ISNUMBER(SEARCH("Master of Laws",E44)), "1",
ISNUMBER(SEARCH("Master",E44)), "2",
ISNUMBER(SEARCH("Bachelor",E44)), "3"
)</f>
        <v>2</v>
      </c>
      <c r="G44" s="3">
        <f t="shared" si="0"/>
        <v>4</v>
      </c>
      <c r="H44" s="3" t="s">
        <v>411</v>
      </c>
    </row>
    <row r="45" spans="1:9">
      <c r="A45" t="str">
        <f>_xlfn.XLOOKUP(B45,DEPARTMENT_DATA!$E$2:$E$24,DEPARTMENT_DATA!$C$2:$C$24)</f>
        <v>DEP-SCI-MATH</v>
      </c>
      <c r="B45" t="s">
        <v>68</v>
      </c>
      <c r="C45" t="s">
        <v>229</v>
      </c>
      <c r="D45" s="3" t="s">
        <v>167</v>
      </c>
      <c r="E45" s="3" t="s">
        <v>133</v>
      </c>
      <c r="F45" s="3" t="str" cm="1">
        <f t="array" ref="F45">_xlfn.IFS(
ISNUMBER(SEARCH("Integrated",E45)), "5",
ISNUMBER(SEARCH("Bachelor of Technology",E45)), "4",
ISNUMBER(SEARCH("Bachelor of Pharmacy",E45)), "4",
ISNUMBER(SEARCH("Bachelor of Science in Agriculture",E45)), "4",
ISNUMBER(SEARCH("Bachelor of Arts and Bachelor of Laws",E45)), "5",
ISNUMBER(SEARCH("Bachelor of Business Administration and Bachelor of Laws",E45)), "5",
ISNUMBER(SEARCH("Master of Laws",E45)), "1",
ISNUMBER(SEARCH("Master",E45)), "2",
ISNUMBER(SEARCH("Bachelor",E45)), "3"
)</f>
        <v>2</v>
      </c>
      <c r="G45" s="3">
        <f t="shared" si="0"/>
        <v>4</v>
      </c>
      <c r="H45" s="3" t="s">
        <v>411</v>
      </c>
    </row>
    <row r="46" spans="1:9">
      <c r="G46" s="3"/>
      <c r="H46" s="3"/>
      <c r="I46"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CDC3-DE32-4F10-9CDC-4838CFDB1890}">
  <dimension ref="A1:J36"/>
  <sheetViews>
    <sheetView topLeftCell="E1" zoomScaleNormal="100" workbookViewId="0">
      <selection activeCell="I30" sqref="I30"/>
    </sheetView>
  </sheetViews>
  <sheetFormatPr defaultRowHeight="14.4"/>
  <cols>
    <col min="1" max="2" width="15.109375" customWidth="1"/>
    <col min="3" max="3" width="16.5546875" customWidth="1"/>
    <col min="4" max="4" width="14" customWidth="1"/>
    <col min="5" max="5" width="52.44140625" customWidth="1"/>
    <col min="6" max="6" width="12.6640625" customWidth="1"/>
    <col min="7" max="9" width="33.109375" customWidth="1"/>
    <col min="10" max="10" width="39.5546875" customWidth="1"/>
  </cols>
  <sheetData>
    <row r="1" spans="1:10" ht="28.8">
      <c r="A1" s="4" t="s">
        <v>259</v>
      </c>
      <c r="B1" s="4" t="s">
        <v>260</v>
      </c>
      <c r="C1" s="4" t="s">
        <v>83</v>
      </c>
      <c r="D1" s="4" t="s">
        <v>186</v>
      </c>
      <c r="E1" s="4" t="s">
        <v>33</v>
      </c>
      <c r="F1" s="4" t="s">
        <v>86</v>
      </c>
      <c r="G1" s="4" t="s">
        <v>134</v>
      </c>
      <c r="H1" s="4" t="s">
        <v>261</v>
      </c>
      <c r="I1" s="4" t="s">
        <v>262</v>
      </c>
      <c r="J1" s="4" t="s">
        <v>231</v>
      </c>
    </row>
    <row r="2" spans="1:10" ht="28.8">
      <c r="A2" t="str">
        <f>_xlfn.XLOOKUP(C2,DEPARTMENT_DATA!$C$2:$C$24,DEPARTMENT_DATA!$A$2:$A$24)</f>
        <v>FAC-ENG</v>
      </c>
      <c r="B2" t="str">
        <f>_xlfn.XLOOKUP(A2,DEPARTMENT_DATA!$A$2:$A$24,DEPARTMENT_DATA!$B$2:$B$24)</f>
        <v>ENG</v>
      </c>
      <c r="C2" t="str">
        <f>_xlfn.XLOOKUP(E2,DEPARTMENT_DATA!$E$2:$E$24,DEPARTMENT_DATA!$C$2:$C$24)</f>
        <v>DEP-ENG-CSE</v>
      </c>
      <c r="D2" t="str">
        <f>_xlfn.XLOOKUP(E2,DEPARTMENT_DATA!$E$2:$E$24,DEPARTMENT_DATA!$D$2:$D$24)</f>
        <v>CSE</v>
      </c>
      <c r="E2" t="s">
        <v>13</v>
      </c>
      <c r="F2" t="str">
        <f>_xlfn.XLOOKUP(G2,PROGRAM_DATA!$E$2:$E$45,PROGRAM_DATA!$D$2:$D$45)</f>
        <v>BTECH-CSE</v>
      </c>
      <c r="G2" s="3" t="s">
        <v>95</v>
      </c>
      <c r="H2" s="3" t="str">
        <f>"SPC-"&amp;B2&amp;"-"&amp;D2&amp;"-"&amp;F2&amp;"-"&amp;I2</f>
        <v>SPC-ENG-CSE-BTECH-CSE-AI</v>
      </c>
      <c r="I2" s="3" t="s">
        <v>263</v>
      </c>
      <c r="J2" s="3" t="s">
        <v>232</v>
      </c>
    </row>
    <row r="3" spans="1:10" ht="28.8">
      <c r="A3" t="str">
        <f>_xlfn.XLOOKUP(C3,DEPARTMENT_DATA!$C$2:$C$24,DEPARTMENT_DATA!$A$2:$A$24)</f>
        <v>FAC-ENG</v>
      </c>
      <c r="B3" t="str">
        <f>_xlfn.XLOOKUP(A3,DEPARTMENT_DATA!$A$2:$A$24,DEPARTMENT_DATA!$B$2:$B$24)</f>
        <v>ENG</v>
      </c>
      <c r="C3" t="str">
        <f>_xlfn.XLOOKUP(E3,DEPARTMENT_DATA!$E$2:$E$24,DEPARTMENT_DATA!$C$2:$C$24)</f>
        <v>DEP-ENG-CSE</v>
      </c>
      <c r="D3" t="str">
        <f>_xlfn.XLOOKUP(E3,DEPARTMENT_DATA!$E$2:$E$24,DEPARTMENT_DATA!$D$2:$D$24)</f>
        <v>CSE</v>
      </c>
      <c r="E3" t="s">
        <v>13</v>
      </c>
      <c r="F3" t="str">
        <f>_xlfn.XLOOKUP(G3,PROGRAM_DATA!$E$2:$E$45,PROGRAM_DATA!$D$2:$D$45)</f>
        <v>BTECH-CSE</v>
      </c>
      <c r="G3" s="3" t="s">
        <v>95</v>
      </c>
      <c r="H3" s="3" t="str">
        <f t="shared" ref="H3:H36" si="0">"SPC-"&amp;B3&amp;"-"&amp;D3&amp;"-"&amp;F3&amp;"-"&amp;I3</f>
        <v>SPC-ENG-CSE-BTECH-CSE-DS</v>
      </c>
      <c r="I3" t="s">
        <v>264</v>
      </c>
      <c r="J3" s="3" t="s">
        <v>233</v>
      </c>
    </row>
    <row r="4" spans="1:10" ht="28.8">
      <c r="A4" t="str">
        <f>_xlfn.XLOOKUP(C4,DEPARTMENT_DATA!$C$2:$C$24,DEPARTMENT_DATA!$A$2:$A$24)</f>
        <v>FAC-ENG</v>
      </c>
      <c r="B4" t="str">
        <f>_xlfn.XLOOKUP(A4,DEPARTMENT_DATA!$A$2:$A$24,DEPARTMENT_DATA!$B$2:$B$24)</f>
        <v>ENG</v>
      </c>
      <c r="C4" t="str">
        <f>_xlfn.XLOOKUP(E4,DEPARTMENT_DATA!$E$2:$E$24,DEPARTMENT_DATA!$C$2:$C$24)</f>
        <v>DEP-ENG-CSE</v>
      </c>
      <c r="D4" t="str">
        <f>_xlfn.XLOOKUP(E4,DEPARTMENT_DATA!$E$2:$E$24,DEPARTMENT_DATA!$D$2:$D$24)</f>
        <v>CSE</v>
      </c>
      <c r="E4" t="s">
        <v>13</v>
      </c>
      <c r="F4" t="str">
        <f>_xlfn.XLOOKUP(G4,PROGRAM_DATA!$E$2:$E$45,PROGRAM_DATA!$D$2:$D$45)</f>
        <v>BTECH-CSE</v>
      </c>
      <c r="G4" s="3" t="s">
        <v>95</v>
      </c>
      <c r="H4" s="3" t="str">
        <f t="shared" si="0"/>
        <v>SPC-ENG-CSE-BTECH-CSE-CSBS</v>
      </c>
      <c r="I4" s="3" t="s">
        <v>268</v>
      </c>
      <c r="J4" s="3" t="s">
        <v>234</v>
      </c>
    </row>
    <row r="5" spans="1:10" ht="28.8">
      <c r="A5" t="str">
        <f>_xlfn.XLOOKUP(C5,DEPARTMENT_DATA!$C$2:$C$24,DEPARTMENT_DATA!$A$2:$A$24)</f>
        <v>FAC-ENG</v>
      </c>
      <c r="B5" t="str">
        <f>_xlfn.XLOOKUP(A5,DEPARTMENT_DATA!$A$2:$A$24,DEPARTMENT_DATA!$B$2:$B$24)</f>
        <v>ENG</v>
      </c>
      <c r="C5" t="str">
        <f>_xlfn.XLOOKUP(E5,DEPARTMENT_DATA!$E$2:$E$24,DEPARTMENT_DATA!$C$2:$C$24)</f>
        <v>DEP-ENG-AE</v>
      </c>
      <c r="D5" t="str">
        <f>_xlfn.XLOOKUP(E5,DEPARTMENT_DATA!$E$2:$E$24,DEPARTMENT_DATA!$D$2:$D$24)</f>
        <v>AE</v>
      </c>
      <c r="E5" t="s">
        <v>16</v>
      </c>
      <c r="F5" t="str">
        <f>_xlfn.XLOOKUP(G5,PROGRAM_DATA!$E$2:$E$45,PROGRAM_DATA!$D$2:$D$45)</f>
        <v>BTECH-AE</v>
      </c>
      <c r="G5" s="3" t="s">
        <v>103</v>
      </c>
      <c r="H5" s="3" t="str">
        <f t="shared" si="0"/>
        <v>SPC-ENG-AE-BTECH-AE-EV</v>
      </c>
      <c r="I5" s="3" t="s">
        <v>265</v>
      </c>
      <c r="J5" s="3" t="s">
        <v>235</v>
      </c>
    </row>
    <row r="6" spans="1:10" ht="28.8">
      <c r="A6" t="str">
        <f>_xlfn.XLOOKUP(C6,DEPARTMENT_DATA!$C$2:$C$24,DEPARTMENT_DATA!$A$2:$A$24)</f>
        <v>FAC-ENG</v>
      </c>
      <c r="B6" t="str">
        <f>_xlfn.XLOOKUP(A6,DEPARTMENT_DATA!$A$2:$A$24,DEPARTMENT_DATA!$B$2:$B$24)</f>
        <v>ENG</v>
      </c>
      <c r="C6" t="str">
        <f>_xlfn.XLOOKUP(E6,DEPARTMENT_DATA!$E$2:$E$24,DEPARTMENT_DATA!$C$2:$C$24)</f>
        <v>DEP-ENG-CE</v>
      </c>
      <c r="D6" t="str">
        <f>_xlfn.XLOOKUP(E6,DEPARTMENT_DATA!$E$2:$E$24,DEPARTMENT_DATA!$D$2:$D$24)</f>
        <v>CE</v>
      </c>
      <c r="E6" t="s">
        <v>17</v>
      </c>
      <c r="F6" t="str">
        <f>_xlfn.XLOOKUP(G6,PROGRAM_DATA!$E$2:$E$45,PROGRAM_DATA!$D$2:$D$45)</f>
        <v>BTECH-CE</v>
      </c>
      <c r="G6" s="3" t="s">
        <v>104</v>
      </c>
      <c r="H6" s="3" t="str">
        <f t="shared" si="0"/>
        <v>SPC-ENG-CE-BTECH-CE-CTM</v>
      </c>
      <c r="I6" s="3" t="s">
        <v>269</v>
      </c>
      <c r="J6" s="3" t="s">
        <v>236</v>
      </c>
    </row>
    <row r="7" spans="1:10" ht="28.8">
      <c r="A7" t="str">
        <f>_xlfn.XLOOKUP(C7,DEPARTMENT_DATA!$C$2:$C$24,DEPARTMENT_DATA!$A$2:$A$24)</f>
        <v>FAC-ENG</v>
      </c>
      <c r="B7" t="str">
        <f>_xlfn.XLOOKUP(A7,DEPARTMENT_DATA!$A$2:$A$24,DEPARTMENT_DATA!$B$2:$B$24)</f>
        <v>ENG</v>
      </c>
      <c r="C7" t="str">
        <f>_xlfn.XLOOKUP(E7,DEPARTMENT_DATA!$E$2:$E$24,DEPARTMENT_DATA!$C$2:$C$24)</f>
        <v>DEP-ENG-CE</v>
      </c>
      <c r="D7" t="str">
        <f>_xlfn.XLOOKUP(E7,DEPARTMENT_DATA!$E$2:$E$24,DEPARTMENT_DATA!$D$2:$D$24)</f>
        <v>CE</v>
      </c>
      <c r="E7" t="s">
        <v>17</v>
      </c>
      <c r="F7" t="str">
        <f>_xlfn.XLOOKUP(G7,PROGRAM_DATA!$E$2:$E$45,PROGRAM_DATA!$D$2:$D$45)</f>
        <v>BTECH-CE</v>
      </c>
      <c r="G7" s="3" t="s">
        <v>104</v>
      </c>
      <c r="H7" s="3" t="str">
        <f t="shared" si="0"/>
        <v>SPC-ENG-CE-BTECH-CE-SE</v>
      </c>
      <c r="I7" s="3" t="s">
        <v>266</v>
      </c>
      <c r="J7" s="3" t="s">
        <v>237</v>
      </c>
    </row>
    <row r="8" spans="1:10" ht="28.8">
      <c r="A8" t="str">
        <f>_xlfn.XLOOKUP(C8,DEPARTMENT_DATA!$C$2:$C$24,DEPARTMENT_DATA!$A$2:$A$24)</f>
        <v>FAC-ENG</v>
      </c>
      <c r="B8" t="str">
        <f>_xlfn.XLOOKUP(A8,DEPARTMENT_DATA!$A$2:$A$24,DEPARTMENT_DATA!$B$2:$B$24)</f>
        <v>ENG</v>
      </c>
      <c r="C8" t="str">
        <f>_xlfn.XLOOKUP(E8,DEPARTMENT_DATA!$E$2:$E$24,DEPARTMENT_DATA!$C$2:$C$24)</f>
        <v>DEP-ENG-CE</v>
      </c>
      <c r="D8" t="str">
        <f>_xlfn.XLOOKUP(E8,DEPARTMENT_DATA!$E$2:$E$24,DEPARTMENT_DATA!$D$2:$D$24)</f>
        <v>CE</v>
      </c>
      <c r="E8" t="s">
        <v>17</v>
      </c>
      <c r="F8" t="str">
        <f>_xlfn.XLOOKUP(G8,PROGRAM_DATA!$E$2:$E$45,PROGRAM_DATA!$D$2:$D$45)</f>
        <v>BTECH-CE</v>
      </c>
      <c r="G8" s="3" t="s">
        <v>104</v>
      </c>
      <c r="H8" s="3" t="str">
        <f t="shared" si="0"/>
        <v>SPC-ENG-CE-BTECH-CE-EE</v>
      </c>
      <c r="I8" s="3" t="s">
        <v>53</v>
      </c>
      <c r="J8" s="3" t="s">
        <v>238</v>
      </c>
    </row>
    <row r="9" spans="1:10" ht="28.8">
      <c r="A9" t="str">
        <f>_xlfn.XLOOKUP(C9,DEPARTMENT_DATA!$C$2:$C$24,DEPARTMENT_DATA!$A$2:$A$24)</f>
        <v>FAC-ENG</v>
      </c>
      <c r="B9" t="str">
        <f>_xlfn.XLOOKUP(A9,DEPARTMENT_DATA!$A$2:$A$24,DEPARTMENT_DATA!$B$2:$B$24)</f>
        <v>ENG</v>
      </c>
      <c r="C9" t="str">
        <f>_xlfn.XLOOKUP(E9,DEPARTMENT_DATA!$E$2:$E$24,DEPARTMENT_DATA!$C$2:$C$24)</f>
        <v>DEP-ENG-CE</v>
      </c>
      <c r="D9" t="str">
        <f>_xlfn.XLOOKUP(E9,DEPARTMENT_DATA!$E$2:$E$24,DEPARTMENT_DATA!$D$2:$D$24)</f>
        <v>CE</v>
      </c>
      <c r="E9" t="s">
        <v>17</v>
      </c>
      <c r="F9" t="str">
        <f>_xlfn.XLOOKUP(G9,PROGRAM_DATA!$E$2:$E$45,PROGRAM_DATA!$D$2:$D$45)</f>
        <v>BTECH-CE</v>
      </c>
      <c r="G9" s="3" t="s">
        <v>104</v>
      </c>
      <c r="H9" s="3" t="str">
        <f t="shared" si="0"/>
        <v>SPC-ENG-CE-BTECH-CE-AI</v>
      </c>
      <c r="I9" s="3" t="s">
        <v>263</v>
      </c>
      <c r="J9" s="3" t="s">
        <v>232</v>
      </c>
    </row>
    <row r="10" spans="1:10" ht="28.8">
      <c r="A10" t="str">
        <f>_xlfn.XLOOKUP(C10,DEPARTMENT_DATA!$C$2:$C$24,DEPARTMENT_DATA!$A$2:$A$24)</f>
        <v>FAC-ENG</v>
      </c>
      <c r="B10" t="str">
        <f>_xlfn.XLOOKUP(A10,DEPARTMENT_DATA!$A$2:$A$24,DEPARTMENT_DATA!$B$2:$B$24)</f>
        <v>ENG</v>
      </c>
      <c r="C10" t="str">
        <f>_xlfn.XLOOKUP(E10,DEPARTMENT_DATA!$E$2:$E$24,DEPARTMENT_DATA!$C$2:$C$24)</f>
        <v>DEP-ENG-ECE</v>
      </c>
      <c r="D10" t="str">
        <f>_xlfn.XLOOKUP(E10,DEPARTMENT_DATA!$E$2:$E$24,DEPARTMENT_DATA!$D$2:$D$24)</f>
        <v>ECE</v>
      </c>
      <c r="E10" t="s">
        <v>18</v>
      </c>
      <c r="F10" t="str">
        <f>_xlfn.XLOOKUP(G10,PROGRAM_DATA!$E$2:$E$45,PROGRAM_DATA!$D$2:$D$45)</f>
        <v>BTECH-ECE</v>
      </c>
      <c r="G10" s="3" t="s">
        <v>106</v>
      </c>
      <c r="H10" s="3" t="str">
        <f t="shared" si="0"/>
        <v>SPC-ENG-ECE-BTECH-ECE-CE</v>
      </c>
      <c r="I10" s="3" t="s">
        <v>51</v>
      </c>
      <c r="J10" s="3" t="s">
        <v>239</v>
      </c>
    </row>
    <row r="11" spans="1:10" ht="28.8">
      <c r="A11" t="str">
        <f>_xlfn.XLOOKUP(C11,DEPARTMENT_DATA!$C$2:$C$24,DEPARTMENT_DATA!$A$2:$A$24)</f>
        <v>FAC-ENG</v>
      </c>
      <c r="B11" t="str">
        <f>_xlfn.XLOOKUP(A11,DEPARTMENT_DATA!$A$2:$A$24,DEPARTMENT_DATA!$B$2:$B$24)</f>
        <v>ENG</v>
      </c>
      <c r="C11" t="str">
        <f>_xlfn.XLOOKUP(E11,DEPARTMENT_DATA!$E$2:$E$24,DEPARTMENT_DATA!$C$2:$C$24)</f>
        <v>DEP-ENG-ECE</v>
      </c>
      <c r="D11" t="str">
        <f>_xlfn.XLOOKUP(E11,DEPARTMENT_DATA!$E$2:$E$24,DEPARTMENT_DATA!$D$2:$D$24)</f>
        <v>ECE</v>
      </c>
      <c r="E11" t="s">
        <v>18</v>
      </c>
      <c r="F11" t="str">
        <f>_xlfn.XLOOKUP(G11,PROGRAM_DATA!$E$2:$E$45,PROGRAM_DATA!$D$2:$D$45)</f>
        <v>BTECH-ECE</v>
      </c>
      <c r="G11" s="3" t="s">
        <v>106</v>
      </c>
      <c r="H11" s="3" t="str">
        <f t="shared" si="0"/>
        <v>SPC-ENG-ECE-BTECH-ECE-CT</v>
      </c>
      <c r="I11" s="3" t="s">
        <v>267</v>
      </c>
      <c r="J11" s="3" t="s">
        <v>240</v>
      </c>
    </row>
    <row r="12" spans="1:10" ht="28.8">
      <c r="A12" t="str">
        <f>_xlfn.XLOOKUP(C12,DEPARTMENT_DATA!$C$2:$C$24,DEPARTMENT_DATA!$A$2:$A$24)</f>
        <v>FAC-ENG</v>
      </c>
      <c r="B12" t="str">
        <f>_xlfn.XLOOKUP(A12,DEPARTMENT_DATA!$A$2:$A$24,DEPARTMENT_DATA!$B$2:$B$24)</f>
        <v>ENG</v>
      </c>
      <c r="C12" t="str">
        <f>_xlfn.XLOOKUP(E12,DEPARTMENT_DATA!$E$2:$E$24,DEPARTMENT_DATA!$C$2:$C$24)</f>
        <v>DEP-ENG-ECE</v>
      </c>
      <c r="D12" t="str">
        <f>_xlfn.XLOOKUP(E12,DEPARTMENT_DATA!$E$2:$E$24,DEPARTMENT_DATA!$D$2:$D$24)</f>
        <v>ECE</v>
      </c>
      <c r="E12" t="s">
        <v>18</v>
      </c>
      <c r="F12" t="str">
        <f>_xlfn.XLOOKUP(G12,PROGRAM_DATA!$E$2:$E$45,PROGRAM_DATA!$D$2:$D$45)</f>
        <v>BTECH-ECE</v>
      </c>
      <c r="G12" s="3" t="s">
        <v>106</v>
      </c>
      <c r="H12" s="3" t="str">
        <f t="shared" si="0"/>
        <v>SPC-ENG-ECE-BTECH-ECE-ME</v>
      </c>
      <c r="I12" s="3" t="s">
        <v>54</v>
      </c>
      <c r="J12" s="3" t="s">
        <v>241</v>
      </c>
    </row>
    <row r="13" spans="1:10" ht="28.8">
      <c r="A13" t="str">
        <f>_xlfn.XLOOKUP(C13,DEPARTMENT_DATA!$C$2:$C$24,DEPARTMENT_DATA!$A$2:$A$24)</f>
        <v>FAC-ENG</v>
      </c>
      <c r="B13" t="str">
        <f>_xlfn.XLOOKUP(A13,DEPARTMENT_DATA!$A$2:$A$24,DEPARTMENT_DATA!$B$2:$B$24)</f>
        <v>ENG</v>
      </c>
      <c r="C13" t="str">
        <f>_xlfn.XLOOKUP(E13,DEPARTMENT_DATA!$E$2:$E$24,DEPARTMENT_DATA!$C$2:$C$24)</f>
        <v>DEP-ENG-ECE</v>
      </c>
      <c r="D13" t="str">
        <f>_xlfn.XLOOKUP(E13,DEPARTMENT_DATA!$E$2:$E$24,DEPARTMENT_DATA!$D$2:$D$24)</f>
        <v>ECE</v>
      </c>
      <c r="E13" t="s">
        <v>18</v>
      </c>
      <c r="F13" t="str">
        <f>_xlfn.XLOOKUP(G13,PROGRAM_DATA!$E$2:$E$45,PROGRAM_DATA!$D$2:$D$45)</f>
        <v>BTECH-ECE</v>
      </c>
      <c r="G13" s="3" t="s">
        <v>106</v>
      </c>
      <c r="H13" s="3" t="str">
        <f t="shared" si="0"/>
        <v>SPC-ENG-ECE-BTECH-ECE-VLSI</v>
      </c>
      <c r="I13" s="3" t="s">
        <v>242</v>
      </c>
      <c r="J13" s="3" t="s">
        <v>242</v>
      </c>
    </row>
    <row r="14" spans="1:10" ht="28.8">
      <c r="A14" t="str">
        <f>_xlfn.XLOOKUP(C14,DEPARTMENT_DATA!$C$2:$C$24,DEPARTMENT_DATA!$A$2:$A$24)</f>
        <v>FAC-ENG</v>
      </c>
      <c r="B14" t="str">
        <f>_xlfn.XLOOKUP(A14,DEPARTMENT_DATA!$A$2:$A$24,DEPARTMENT_DATA!$B$2:$B$24)</f>
        <v>ENG</v>
      </c>
      <c r="C14" t="str">
        <f>_xlfn.XLOOKUP(E14,DEPARTMENT_DATA!$E$2:$E$24,DEPARTMENT_DATA!$C$2:$C$24)</f>
        <v>DEP-ENG-ECE</v>
      </c>
      <c r="D14" t="str">
        <f>_xlfn.XLOOKUP(E14,DEPARTMENT_DATA!$E$2:$E$24,DEPARTMENT_DATA!$D$2:$D$24)</f>
        <v>ECE</v>
      </c>
      <c r="E14" t="s">
        <v>18</v>
      </c>
      <c r="F14" t="str">
        <f>_xlfn.XLOOKUP(G14,PROGRAM_DATA!$E$2:$E$45,PROGRAM_DATA!$D$2:$D$45)</f>
        <v>BTECH-ECE</v>
      </c>
      <c r="G14" s="3" t="s">
        <v>106</v>
      </c>
      <c r="H14" s="3" t="str">
        <f t="shared" si="0"/>
        <v>SPC-ENG-ECE-BTECH-ECE-AI</v>
      </c>
      <c r="I14" s="3" t="s">
        <v>263</v>
      </c>
      <c r="J14" s="3" t="s">
        <v>232</v>
      </c>
    </row>
    <row r="15" spans="1:10" ht="28.8">
      <c r="A15" t="str">
        <f>_xlfn.XLOOKUP(C15,DEPARTMENT_DATA!$C$2:$C$24,DEPARTMENT_DATA!$A$2:$A$24)</f>
        <v>FAC-ENG</v>
      </c>
      <c r="B15" t="str">
        <f>_xlfn.XLOOKUP(A15,DEPARTMENT_DATA!$A$2:$A$24,DEPARTMENT_DATA!$B$2:$B$24)</f>
        <v>ENG</v>
      </c>
      <c r="C15" t="str">
        <f>_xlfn.XLOOKUP(E15,DEPARTMENT_DATA!$E$2:$E$24,DEPARTMENT_DATA!$C$2:$C$24)</f>
        <v>DEP-ENG-EE</v>
      </c>
      <c r="D15" t="str">
        <f>_xlfn.XLOOKUP(E15,DEPARTMENT_DATA!$E$2:$E$24,DEPARTMENT_DATA!$D$2:$D$24)</f>
        <v>EE</v>
      </c>
      <c r="E15" t="s">
        <v>19</v>
      </c>
      <c r="F15" t="str">
        <f>_xlfn.XLOOKUP(G15,PROGRAM_DATA!$E$2:$E$45,PROGRAM_DATA!$D$2:$D$45)</f>
        <v>BTECH-EE</v>
      </c>
      <c r="G15" s="3" t="s">
        <v>108</v>
      </c>
      <c r="H15" s="3" t="str">
        <f t="shared" si="0"/>
        <v>SPC-ENG-EE-BTECH-EE-PE</v>
      </c>
      <c r="I15" s="3" t="s">
        <v>270</v>
      </c>
      <c r="J15" s="3" t="s">
        <v>243</v>
      </c>
    </row>
    <row r="16" spans="1:10" ht="28.8">
      <c r="A16" t="str">
        <f>_xlfn.XLOOKUP(C16,DEPARTMENT_DATA!$C$2:$C$24,DEPARTMENT_DATA!$A$2:$A$24)</f>
        <v>FAC-ENG</v>
      </c>
      <c r="B16" t="str">
        <f>_xlfn.XLOOKUP(A16,DEPARTMENT_DATA!$A$2:$A$24,DEPARTMENT_DATA!$B$2:$B$24)</f>
        <v>ENG</v>
      </c>
      <c r="C16" t="str">
        <f>_xlfn.XLOOKUP(E16,DEPARTMENT_DATA!$E$2:$E$24,DEPARTMENT_DATA!$C$2:$C$24)</f>
        <v>DEP-ENG-EE</v>
      </c>
      <c r="D16" t="str">
        <f>_xlfn.XLOOKUP(E16,DEPARTMENT_DATA!$E$2:$E$24,DEPARTMENT_DATA!$D$2:$D$24)</f>
        <v>EE</v>
      </c>
      <c r="E16" t="s">
        <v>19</v>
      </c>
      <c r="F16" t="str">
        <f>_xlfn.XLOOKUP(G16,PROGRAM_DATA!$E$2:$E$45,PROGRAM_DATA!$D$2:$D$45)</f>
        <v>BTECH-EE</v>
      </c>
      <c r="G16" s="3" t="s">
        <v>108</v>
      </c>
      <c r="H16" s="3" t="str">
        <f t="shared" si="0"/>
        <v>SPC-ENG-EE-BTECH-EE-PS</v>
      </c>
      <c r="I16" s="3" t="s">
        <v>271</v>
      </c>
      <c r="J16" s="3" t="s">
        <v>244</v>
      </c>
    </row>
    <row r="17" spans="1:10" ht="28.8">
      <c r="A17" t="str">
        <f>_xlfn.XLOOKUP(C17,DEPARTMENT_DATA!$C$2:$C$24,DEPARTMENT_DATA!$A$2:$A$24)</f>
        <v>FAC-ENG</v>
      </c>
      <c r="B17" t="str">
        <f>_xlfn.XLOOKUP(A17,DEPARTMENT_DATA!$A$2:$A$24,DEPARTMENT_DATA!$B$2:$B$24)</f>
        <v>ENG</v>
      </c>
      <c r="C17" t="str">
        <f>_xlfn.XLOOKUP(E17,DEPARTMENT_DATA!$E$2:$E$24,DEPARTMENT_DATA!$C$2:$C$24)</f>
        <v>DEP-ENG-EE</v>
      </c>
      <c r="D17" t="str">
        <f>_xlfn.XLOOKUP(E17,DEPARTMENT_DATA!$E$2:$E$24,DEPARTMENT_DATA!$D$2:$D$24)</f>
        <v>EE</v>
      </c>
      <c r="E17" t="s">
        <v>19</v>
      </c>
      <c r="F17" t="str">
        <f>_xlfn.XLOOKUP(G17,PROGRAM_DATA!$E$2:$E$45,PROGRAM_DATA!$D$2:$D$45)</f>
        <v>BTECH-EE</v>
      </c>
      <c r="G17" s="3" t="s">
        <v>108</v>
      </c>
      <c r="H17" s="3" t="str">
        <f t="shared" si="0"/>
        <v>SPC-ENG-EE-BTECH-EE-IT</v>
      </c>
      <c r="I17" s="3" t="s">
        <v>48</v>
      </c>
      <c r="J17" s="3" t="s">
        <v>35</v>
      </c>
    </row>
    <row r="18" spans="1:10" ht="28.8">
      <c r="A18" t="str">
        <f>_xlfn.XLOOKUP(C18,DEPARTMENT_DATA!$C$2:$C$24,DEPARTMENT_DATA!$A$2:$A$24)</f>
        <v>FAC-ENG</v>
      </c>
      <c r="B18" t="str">
        <f>_xlfn.XLOOKUP(A18,DEPARTMENT_DATA!$A$2:$A$24,DEPARTMENT_DATA!$B$2:$B$24)</f>
        <v>ENG</v>
      </c>
      <c r="C18" t="str">
        <f>_xlfn.XLOOKUP(E18,DEPARTMENT_DATA!$E$2:$E$24,DEPARTMENT_DATA!$C$2:$C$24)</f>
        <v>DEP-ENG-ME</v>
      </c>
      <c r="D18" t="str">
        <f>_xlfn.XLOOKUP(E18,DEPARTMENT_DATA!$E$2:$E$24,DEPARTMENT_DATA!$D$2:$D$24)</f>
        <v>ME</v>
      </c>
      <c r="E18" t="s">
        <v>20</v>
      </c>
      <c r="F18" t="str">
        <f>_xlfn.XLOOKUP(G18,PROGRAM_DATA!$E$2:$E$45,PROGRAM_DATA!$D$2:$D$45)</f>
        <v>BTECH-ME</v>
      </c>
      <c r="G18" s="3" t="s">
        <v>110</v>
      </c>
      <c r="H18" s="3" t="str">
        <f t="shared" si="0"/>
        <v>SPC-ENG-ME-BTECH-ME-MT</v>
      </c>
      <c r="I18" s="3" t="s">
        <v>272</v>
      </c>
      <c r="J18" s="3" t="s">
        <v>245</v>
      </c>
    </row>
    <row r="19" spans="1:10" ht="28.8">
      <c r="A19" t="str">
        <f>_xlfn.XLOOKUP(C19,DEPARTMENT_DATA!$C$2:$C$24,DEPARTMENT_DATA!$A$2:$A$24)</f>
        <v>FAC-ENG</v>
      </c>
      <c r="B19" t="str">
        <f>_xlfn.XLOOKUP(A19,DEPARTMENT_DATA!$A$2:$A$24,DEPARTMENT_DATA!$B$2:$B$24)</f>
        <v>ENG</v>
      </c>
      <c r="C19" t="str">
        <f>_xlfn.XLOOKUP(E19,DEPARTMENT_DATA!$E$2:$E$24,DEPARTMENT_DATA!$C$2:$C$24)</f>
        <v>DEP-ENG-ME</v>
      </c>
      <c r="D19" t="str">
        <f>_xlfn.XLOOKUP(E19,DEPARTMENT_DATA!$E$2:$E$24,DEPARTMENT_DATA!$D$2:$D$24)</f>
        <v>ME</v>
      </c>
      <c r="E19" t="s">
        <v>20</v>
      </c>
      <c r="F19" t="str">
        <f>_xlfn.XLOOKUP(G19,PROGRAM_DATA!$E$2:$E$45,PROGRAM_DATA!$D$2:$D$45)</f>
        <v>BTECH-ME</v>
      </c>
      <c r="G19" s="3" t="s">
        <v>110</v>
      </c>
      <c r="H19" s="3" t="str">
        <f t="shared" si="0"/>
        <v>SPC-ENG-ME-BTECH-ME-CDME</v>
      </c>
      <c r="I19" s="3" t="s">
        <v>273</v>
      </c>
      <c r="J19" s="3" t="s">
        <v>246</v>
      </c>
    </row>
    <row r="20" spans="1:10" ht="28.8">
      <c r="A20" t="str">
        <f>_xlfn.XLOOKUP(C20,DEPARTMENT_DATA!$C$2:$C$24,DEPARTMENT_DATA!$A$2:$A$24)</f>
        <v>FAC-ENG</v>
      </c>
      <c r="B20" t="str">
        <f>_xlfn.XLOOKUP(A20,DEPARTMENT_DATA!$A$2:$A$24,DEPARTMENT_DATA!$B$2:$B$24)</f>
        <v>ENG</v>
      </c>
      <c r="C20" t="str">
        <f>_xlfn.XLOOKUP(E20,DEPARTMENT_DATA!$E$2:$E$24,DEPARTMENT_DATA!$C$2:$C$24)</f>
        <v>DEP-ENG-ME</v>
      </c>
      <c r="D20" t="str">
        <f>_xlfn.XLOOKUP(E20,DEPARTMENT_DATA!$E$2:$E$24,DEPARTMENT_DATA!$D$2:$D$24)</f>
        <v>ME</v>
      </c>
      <c r="E20" t="s">
        <v>20</v>
      </c>
      <c r="F20" t="str">
        <f>_xlfn.XLOOKUP(G20,PROGRAM_DATA!$E$2:$E$45,PROGRAM_DATA!$D$2:$D$45)</f>
        <v>BTECH-ME</v>
      </c>
      <c r="G20" s="3" t="s">
        <v>110</v>
      </c>
      <c r="H20" s="3" t="str">
        <f t="shared" si="0"/>
        <v>SPC-ENG-ME-BTECH-ME-IPE</v>
      </c>
      <c r="I20" s="3" t="s">
        <v>274</v>
      </c>
      <c r="J20" s="3" t="s">
        <v>247</v>
      </c>
    </row>
    <row r="21" spans="1:10" ht="28.8">
      <c r="A21" t="str">
        <f>_xlfn.XLOOKUP(C21,DEPARTMENT_DATA!$C$2:$C$24,DEPARTMENT_DATA!$A$2:$A$24)</f>
        <v>FAC-ENG</v>
      </c>
      <c r="B21" t="str">
        <f>_xlfn.XLOOKUP(A21,DEPARTMENT_DATA!$A$2:$A$24,DEPARTMENT_DATA!$B$2:$B$24)</f>
        <v>ENG</v>
      </c>
      <c r="C21" t="str">
        <f>_xlfn.XLOOKUP(E21,DEPARTMENT_DATA!$E$2:$E$24,DEPARTMENT_DATA!$C$2:$C$24)</f>
        <v>DEP-ENG-ME</v>
      </c>
      <c r="D21" t="str">
        <f>_xlfn.XLOOKUP(E21,DEPARTMENT_DATA!$E$2:$E$24,DEPARTMENT_DATA!$D$2:$D$24)</f>
        <v>ME</v>
      </c>
      <c r="E21" t="s">
        <v>20</v>
      </c>
      <c r="F21" t="str">
        <f>_xlfn.XLOOKUP(G21,PROGRAM_DATA!$E$2:$E$45,PROGRAM_DATA!$D$2:$D$45)</f>
        <v>BTECH-ME</v>
      </c>
      <c r="G21" s="3" t="s">
        <v>110</v>
      </c>
      <c r="H21" s="3" t="str">
        <f t="shared" si="0"/>
        <v>SPC-ENG-ME-BTECH-ME-ET</v>
      </c>
      <c r="I21" s="3" t="s">
        <v>275</v>
      </c>
      <c r="J21" s="3" t="s">
        <v>248</v>
      </c>
    </row>
    <row r="22" spans="1:10" ht="28.8">
      <c r="A22" t="str">
        <f>_xlfn.XLOOKUP(C22,DEPARTMENT_DATA!$C$2:$C$24,DEPARTMENT_DATA!$A$2:$A$24)</f>
        <v>FAC-ENG</v>
      </c>
      <c r="B22" t="str">
        <f>_xlfn.XLOOKUP(A22,DEPARTMENT_DATA!$A$2:$A$24,DEPARTMENT_DATA!$B$2:$B$24)</f>
        <v>ENG</v>
      </c>
      <c r="C22" t="str">
        <f>_xlfn.XLOOKUP(E22,DEPARTMENT_DATA!$E$2:$E$24,DEPARTMENT_DATA!$C$2:$C$24)</f>
        <v>DEP-ENG-ME</v>
      </c>
      <c r="D22" t="str">
        <f>_xlfn.XLOOKUP(E22,DEPARTMENT_DATA!$E$2:$E$24,DEPARTMENT_DATA!$D$2:$D$24)</f>
        <v>ME</v>
      </c>
      <c r="E22" t="s">
        <v>20</v>
      </c>
      <c r="F22" t="str">
        <f>_xlfn.XLOOKUP(G22,PROGRAM_DATA!$E$2:$E$45,PROGRAM_DATA!$D$2:$D$45)</f>
        <v>BTECH-ME</v>
      </c>
      <c r="G22" s="3" t="s">
        <v>110</v>
      </c>
      <c r="H22" s="3" t="str">
        <f t="shared" si="0"/>
        <v>SPC-ENG-ME-BTECH-ME-AI</v>
      </c>
      <c r="I22" s="3" t="s">
        <v>263</v>
      </c>
      <c r="J22" s="3" t="s">
        <v>232</v>
      </c>
    </row>
    <row r="23" spans="1:10">
      <c r="A23" t="str">
        <f>_xlfn.XLOOKUP(C23,DEPARTMENT_DATA!$C$2:$C$24,DEPARTMENT_DATA!$A$2:$A$24)</f>
        <v>FAC-MGT</v>
      </c>
      <c r="B23" t="str">
        <f>_xlfn.XLOOKUP(A23,DEPARTMENT_DATA!$A$2:$A$24,DEPARTMENT_DATA!$B$2:$B$24)</f>
        <v>MGT</v>
      </c>
      <c r="C23" t="str">
        <f>_xlfn.XLOOKUP(E23,DEPARTMENT_DATA!$E$2:$E$24,DEPARTMENT_DATA!$C$2:$C$24)</f>
        <v>DEP-MGT-BA</v>
      </c>
      <c r="D23" t="str">
        <f>_xlfn.XLOOKUP(E23,DEPARTMENT_DATA!$E$2:$E$24,DEPARTMENT_DATA!$D$2:$D$24)</f>
        <v>BA</v>
      </c>
      <c r="E23" t="s">
        <v>58</v>
      </c>
      <c r="F23" t="str">
        <f>_xlfn.XLOOKUP(G23,PROGRAM_DATA!$E$2:$E$45,PROGRAM_DATA!$D$2:$D$45)</f>
        <v>BBA</v>
      </c>
      <c r="G23" s="3" t="s">
        <v>117</v>
      </c>
      <c r="H23" s="3" t="str">
        <f t="shared" si="0"/>
        <v>SPC-MGT-BA-BBA-FIN</v>
      </c>
      <c r="I23" s="3" t="s">
        <v>284</v>
      </c>
      <c r="J23" s="3" t="s">
        <v>249</v>
      </c>
    </row>
    <row r="24" spans="1:10">
      <c r="A24" t="str">
        <f>_xlfn.XLOOKUP(C24,DEPARTMENT_DATA!$C$2:$C$24,DEPARTMENT_DATA!$A$2:$A$24)</f>
        <v>FAC-MGT</v>
      </c>
      <c r="B24" t="str">
        <f>_xlfn.XLOOKUP(A24,DEPARTMENT_DATA!$A$2:$A$24,DEPARTMENT_DATA!$B$2:$B$24)</f>
        <v>MGT</v>
      </c>
      <c r="C24" t="str">
        <f>_xlfn.XLOOKUP(E24,DEPARTMENT_DATA!$E$2:$E$24,DEPARTMENT_DATA!$C$2:$C$24)</f>
        <v>DEP-MGT-BA</v>
      </c>
      <c r="D24" t="str">
        <f>_xlfn.XLOOKUP(E24,DEPARTMENT_DATA!$E$2:$E$24,DEPARTMENT_DATA!$D$2:$D$24)</f>
        <v>BA</v>
      </c>
      <c r="E24" t="s">
        <v>58</v>
      </c>
      <c r="F24" t="str">
        <f>_xlfn.XLOOKUP(G24,PROGRAM_DATA!$E$2:$E$45,PROGRAM_DATA!$D$2:$D$45)</f>
        <v>BBA</v>
      </c>
      <c r="G24" s="3" t="s">
        <v>117</v>
      </c>
      <c r="H24" s="3" t="str">
        <f t="shared" si="0"/>
        <v>SPC-MGT-BA-BBA-FT</v>
      </c>
      <c r="I24" s="3" t="s">
        <v>276</v>
      </c>
      <c r="J24" s="3" t="s">
        <v>250</v>
      </c>
    </row>
    <row r="25" spans="1:10">
      <c r="A25" t="str">
        <f>_xlfn.XLOOKUP(C25,DEPARTMENT_DATA!$C$2:$C$24,DEPARTMENT_DATA!$A$2:$A$24)</f>
        <v>FAC-MGT</v>
      </c>
      <c r="B25" t="str">
        <f>_xlfn.XLOOKUP(A25,DEPARTMENT_DATA!$A$2:$A$24,DEPARTMENT_DATA!$B$2:$B$24)</f>
        <v>MGT</v>
      </c>
      <c r="C25" t="str">
        <f>_xlfn.XLOOKUP(E25,DEPARTMENT_DATA!$E$2:$E$24,DEPARTMENT_DATA!$C$2:$C$24)</f>
        <v>DEP-MGT-BA</v>
      </c>
      <c r="D25" t="str">
        <f>_xlfn.XLOOKUP(E25,DEPARTMENT_DATA!$E$2:$E$24,DEPARTMENT_DATA!$D$2:$D$24)</f>
        <v>BA</v>
      </c>
      <c r="E25" t="s">
        <v>58</v>
      </c>
      <c r="F25" t="str">
        <f>_xlfn.XLOOKUP(G25,PROGRAM_DATA!$E$2:$E$45,PROGRAM_DATA!$D$2:$D$45)</f>
        <v>BBA</v>
      </c>
      <c r="G25" s="3" t="s">
        <v>117</v>
      </c>
      <c r="H25" s="3" t="str">
        <f t="shared" si="0"/>
        <v>SPC-MGT-BA-BBA-HR</v>
      </c>
      <c r="I25" s="3" t="s">
        <v>277</v>
      </c>
      <c r="J25" s="3" t="s">
        <v>251</v>
      </c>
    </row>
    <row r="26" spans="1:10">
      <c r="A26" t="str">
        <f>_xlfn.XLOOKUP(C26,DEPARTMENT_DATA!$C$2:$C$24,DEPARTMENT_DATA!$A$2:$A$24)</f>
        <v>FAC-MGT</v>
      </c>
      <c r="B26" t="str">
        <f>_xlfn.XLOOKUP(A26,DEPARTMENT_DATA!$A$2:$A$24,DEPARTMENT_DATA!$B$2:$B$24)</f>
        <v>MGT</v>
      </c>
      <c r="C26" t="str">
        <f>_xlfn.XLOOKUP(E26,DEPARTMENT_DATA!$E$2:$E$24,DEPARTMENT_DATA!$C$2:$C$24)</f>
        <v>DEP-MGT-BA</v>
      </c>
      <c r="D26" t="str">
        <f>_xlfn.XLOOKUP(E26,DEPARTMENT_DATA!$E$2:$E$24,DEPARTMENT_DATA!$D$2:$D$24)</f>
        <v>BA</v>
      </c>
      <c r="E26" t="s">
        <v>58</v>
      </c>
      <c r="F26" t="str">
        <f>_xlfn.XLOOKUP(G26,PROGRAM_DATA!$E$2:$E$45,PROGRAM_DATA!$D$2:$D$45)</f>
        <v>BBA</v>
      </c>
      <c r="G26" s="3" t="s">
        <v>117</v>
      </c>
      <c r="H26" s="3" t="str">
        <f t="shared" si="0"/>
        <v>SPC-MGT-BA-BBA-MM</v>
      </c>
      <c r="I26" s="3" t="s">
        <v>278</v>
      </c>
      <c r="J26" s="3" t="s">
        <v>252</v>
      </c>
    </row>
    <row r="27" spans="1:10">
      <c r="A27" t="str">
        <f>_xlfn.XLOOKUP(C27,DEPARTMENT_DATA!$C$2:$C$24,DEPARTMENT_DATA!$A$2:$A$24)</f>
        <v>FAC-MGT</v>
      </c>
      <c r="B27" t="str">
        <f>_xlfn.XLOOKUP(A27,DEPARTMENT_DATA!$A$2:$A$24,DEPARTMENT_DATA!$B$2:$B$24)</f>
        <v>MGT</v>
      </c>
      <c r="C27" t="str">
        <f>_xlfn.XLOOKUP(E27,DEPARTMENT_DATA!$E$2:$E$24,DEPARTMENT_DATA!$C$2:$C$24)</f>
        <v>DEP-MGT-BA</v>
      </c>
      <c r="D27" t="str">
        <f>_xlfn.XLOOKUP(E27,DEPARTMENT_DATA!$E$2:$E$24,DEPARTMENT_DATA!$D$2:$D$24)</f>
        <v>BA</v>
      </c>
      <c r="E27" t="s">
        <v>58</v>
      </c>
      <c r="F27" t="str">
        <f>_xlfn.XLOOKUP(G27,PROGRAM_DATA!$E$2:$E$45,PROGRAM_DATA!$D$2:$D$45)</f>
        <v>BBA</v>
      </c>
      <c r="G27" s="3" t="s">
        <v>117</v>
      </c>
      <c r="H27" s="3" t="str">
        <f t="shared" si="0"/>
        <v>SPC-MGT-BA-BBA-DM</v>
      </c>
      <c r="I27" s="3" t="s">
        <v>279</v>
      </c>
      <c r="J27" s="3" t="s">
        <v>253</v>
      </c>
    </row>
    <row r="28" spans="1:10">
      <c r="A28" t="str">
        <f>_xlfn.XLOOKUP(C28,DEPARTMENT_DATA!$C$2:$C$24,DEPARTMENT_DATA!$A$2:$A$24)</f>
        <v>FAC-MGT</v>
      </c>
      <c r="B28" t="str">
        <f>_xlfn.XLOOKUP(A28,DEPARTMENT_DATA!$A$2:$A$24,DEPARTMENT_DATA!$B$2:$B$24)</f>
        <v>MGT</v>
      </c>
      <c r="C28" t="str">
        <f>_xlfn.XLOOKUP(E28,DEPARTMENT_DATA!$E$2:$E$24,DEPARTMENT_DATA!$C$2:$C$24)</f>
        <v>DEP-MGT-BA</v>
      </c>
      <c r="D28" t="str">
        <f>_xlfn.XLOOKUP(E28,DEPARTMENT_DATA!$E$2:$E$24,DEPARTMENT_DATA!$D$2:$D$24)</f>
        <v>BA</v>
      </c>
      <c r="E28" t="s">
        <v>58</v>
      </c>
      <c r="F28" t="str">
        <f>_xlfn.XLOOKUP(G28,PROGRAM_DATA!$E$2:$E$45,PROGRAM_DATA!$D$2:$D$45)</f>
        <v>MBA</v>
      </c>
      <c r="G28" s="3" t="s">
        <v>119</v>
      </c>
      <c r="H28" s="3" t="str">
        <f t="shared" si="0"/>
        <v>SPC-MGT-BA-MBA-FIN</v>
      </c>
      <c r="I28" s="3" t="s">
        <v>284</v>
      </c>
      <c r="J28" s="3" t="s">
        <v>249</v>
      </c>
    </row>
    <row r="29" spans="1:10">
      <c r="A29" t="str">
        <f>_xlfn.XLOOKUP(C29,DEPARTMENT_DATA!$C$2:$C$24,DEPARTMENT_DATA!$A$2:$A$24)</f>
        <v>FAC-MGT</v>
      </c>
      <c r="B29" t="str">
        <f>_xlfn.XLOOKUP(A29,DEPARTMENT_DATA!$A$2:$A$24,DEPARTMENT_DATA!$B$2:$B$24)</f>
        <v>MGT</v>
      </c>
      <c r="C29" t="str">
        <f>_xlfn.XLOOKUP(E29,DEPARTMENT_DATA!$E$2:$E$24,DEPARTMENT_DATA!$C$2:$C$24)</f>
        <v>DEP-MGT-BA</v>
      </c>
      <c r="D29" t="str">
        <f>_xlfn.XLOOKUP(E29,DEPARTMENT_DATA!$E$2:$E$24,DEPARTMENT_DATA!$D$2:$D$24)</f>
        <v>BA</v>
      </c>
      <c r="E29" t="s">
        <v>58</v>
      </c>
      <c r="F29" t="str">
        <f>_xlfn.XLOOKUP(G29,PROGRAM_DATA!$E$2:$E$45,PROGRAM_DATA!$D$2:$D$45)</f>
        <v>MBA</v>
      </c>
      <c r="G29" s="3" t="s">
        <v>119</v>
      </c>
      <c r="H29" s="3" t="str">
        <f t="shared" si="0"/>
        <v>SPC-MGT-BA-MBA-FT</v>
      </c>
      <c r="I29" s="3" t="s">
        <v>276</v>
      </c>
      <c r="J29" s="3" t="s">
        <v>250</v>
      </c>
    </row>
    <row r="30" spans="1:10">
      <c r="A30" t="str">
        <f>_xlfn.XLOOKUP(C30,DEPARTMENT_DATA!$C$2:$C$24,DEPARTMENT_DATA!$A$2:$A$24)</f>
        <v>FAC-MGT</v>
      </c>
      <c r="B30" t="str">
        <f>_xlfn.XLOOKUP(A30,DEPARTMENT_DATA!$A$2:$A$24,DEPARTMENT_DATA!$B$2:$B$24)</f>
        <v>MGT</v>
      </c>
      <c r="C30" t="str">
        <f>_xlfn.XLOOKUP(E30,DEPARTMENT_DATA!$E$2:$E$24,DEPARTMENT_DATA!$C$2:$C$24)</f>
        <v>DEP-MGT-BA</v>
      </c>
      <c r="D30" t="str">
        <f>_xlfn.XLOOKUP(E30,DEPARTMENT_DATA!$E$2:$E$24,DEPARTMENT_DATA!$D$2:$D$24)</f>
        <v>BA</v>
      </c>
      <c r="E30" t="s">
        <v>58</v>
      </c>
      <c r="F30" t="str">
        <f>_xlfn.XLOOKUP(G30,PROGRAM_DATA!$E$2:$E$45,PROGRAM_DATA!$D$2:$D$45)</f>
        <v>MBA</v>
      </c>
      <c r="G30" s="3" t="s">
        <v>119</v>
      </c>
      <c r="H30" s="3" t="str">
        <f t="shared" si="0"/>
        <v>SPC-MGT-BA-MBA-HR</v>
      </c>
      <c r="I30" s="3" t="s">
        <v>277</v>
      </c>
      <c r="J30" s="3" t="s">
        <v>251</v>
      </c>
    </row>
    <row r="31" spans="1:10">
      <c r="A31" t="str">
        <f>_xlfn.XLOOKUP(C31,DEPARTMENT_DATA!$C$2:$C$24,DEPARTMENT_DATA!$A$2:$A$24)</f>
        <v>FAC-MGT</v>
      </c>
      <c r="B31" t="str">
        <f>_xlfn.XLOOKUP(A31,DEPARTMENT_DATA!$A$2:$A$24,DEPARTMENT_DATA!$B$2:$B$24)</f>
        <v>MGT</v>
      </c>
      <c r="C31" t="str">
        <f>_xlfn.XLOOKUP(E31,DEPARTMENT_DATA!$E$2:$E$24,DEPARTMENT_DATA!$C$2:$C$24)</f>
        <v>DEP-MGT-BA</v>
      </c>
      <c r="D31" t="str">
        <f>_xlfn.XLOOKUP(E31,DEPARTMENT_DATA!$E$2:$E$24,DEPARTMENT_DATA!$D$2:$D$24)</f>
        <v>BA</v>
      </c>
      <c r="E31" t="s">
        <v>58</v>
      </c>
      <c r="F31" t="str">
        <f>_xlfn.XLOOKUP(G31,PROGRAM_DATA!$E$2:$E$45,PROGRAM_DATA!$D$2:$D$45)</f>
        <v>MBA</v>
      </c>
      <c r="G31" s="3" t="s">
        <v>119</v>
      </c>
      <c r="H31" s="3" t="str">
        <f t="shared" si="0"/>
        <v>SPC-MGT-BA-MBA-MM</v>
      </c>
      <c r="I31" s="3" t="s">
        <v>278</v>
      </c>
      <c r="J31" s="3" t="s">
        <v>252</v>
      </c>
    </row>
    <row r="32" spans="1:10">
      <c r="A32" t="str">
        <f>_xlfn.XLOOKUP(C32,DEPARTMENT_DATA!$C$2:$C$24,DEPARTMENT_DATA!$A$2:$A$24)</f>
        <v>FAC-MGT</v>
      </c>
      <c r="B32" t="str">
        <f>_xlfn.XLOOKUP(A32,DEPARTMENT_DATA!$A$2:$A$24,DEPARTMENT_DATA!$B$2:$B$24)</f>
        <v>MGT</v>
      </c>
      <c r="C32" t="str">
        <f>_xlfn.XLOOKUP(E32,DEPARTMENT_DATA!$E$2:$E$24,DEPARTMENT_DATA!$C$2:$C$24)</f>
        <v>DEP-MGT-BA</v>
      </c>
      <c r="D32" t="str">
        <f>_xlfn.XLOOKUP(E32,DEPARTMENT_DATA!$E$2:$E$24,DEPARTMENT_DATA!$D$2:$D$24)</f>
        <v>BA</v>
      </c>
      <c r="E32" t="s">
        <v>58</v>
      </c>
      <c r="F32" t="str">
        <f>_xlfn.XLOOKUP(G32,PROGRAM_DATA!$E$2:$E$45,PROGRAM_DATA!$D$2:$D$45)</f>
        <v>MBA</v>
      </c>
      <c r="G32" s="3" t="s">
        <v>119</v>
      </c>
      <c r="H32" s="3" t="str">
        <f t="shared" si="0"/>
        <v>SPC-MGT-BA-MBA-LSCM</v>
      </c>
      <c r="I32" s="3" t="s">
        <v>280</v>
      </c>
      <c r="J32" s="3" t="s">
        <v>254</v>
      </c>
    </row>
    <row r="33" spans="1:10">
      <c r="A33" t="str">
        <f>_xlfn.XLOOKUP(C33,DEPARTMENT_DATA!$C$2:$C$24,DEPARTMENT_DATA!$A$2:$A$24)</f>
        <v>FAC-AHS</v>
      </c>
      <c r="B33" t="str">
        <f>_xlfn.XLOOKUP(A33,DEPARTMENT_DATA!$A$2:$A$24,DEPARTMENT_DATA!$B$2:$B$24)</f>
        <v>AHS</v>
      </c>
      <c r="C33" t="str">
        <f>_xlfn.XLOOKUP(E33,DEPARTMENT_DATA!$E$2:$E$24,DEPARTMENT_DATA!$C$2:$C$24)</f>
        <v>DEP-AHS-HS</v>
      </c>
      <c r="D33" t="str">
        <f>_xlfn.XLOOKUP(E33,DEPARTMENT_DATA!$E$2:$E$24,DEPARTMENT_DATA!$D$2:$D$24)</f>
        <v>HS</v>
      </c>
      <c r="E33" t="s">
        <v>81</v>
      </c>
      <c r="F33" t="str">
        <f>_xlfn.XLOOKUP(G33,PROGRAM_DATA!$E$2:$E$45,PROGRAM_DATA!$D$2:$D$45)</f>
        <v>BSC</v>
      </c>
      <c r="G33" s="3" t="s">
        <v>90</v>
      </c>
      <c r="H33" s="3" t="str">
        <f t="shared" si="0"/>
        <v>SPC-AHS-HS-BSC-AOTT</v>
      </c>
      <c r="I33" s="3" t="s">
        <v>281</v>
      </c>
      <c r="J33" s="3" t="s">
        <v>255</v>
      </c>
    </row>
    <row r="34" spans="1:10">
      <c r="A34" t="str">
        <f>_xlfn.XLOOKUP(C34,DEPARTMENT_DATA!$C$2:$C$24,DEPARTMENT_DATA!$A$2:$A$24)</f>
        <v>FAC-AHS</v>
      </c>
      <c r="B34" t="str">
        <f>_xlfn.XLOOKUP(A34,DEPARTMENT_DATA!$A$2:$A$24,DEPARTMENT_DATA!$B$2:$B$24)</f>
        <v>AHS</v>
      </c>
      <c r="C34" t="str">
        <f>_xlfn.XLOOKUP(E34,DEPARTMENT_DATA!$E$2:$E$24,DEPARTMENT_DATA!$C$2:$C$24)</f>
        <v>DEP-AHS-HS</v>
      </c>
      <c r="D34" t="str">
        <f>_xlfn.XLOOKUP(E34,DEPARTMENT_DATA!$E$2:$E$24,DEPARTMENT_DATA!$D$2:$D$24)</f>
        <v>HS</v>
      </c>
      <c r="E34" t="s">
        <v>81</v>
      </c>
      <c r="F34" t="str">
        <f>_xlfn.XLOOKUP(G34,PROGRAM_DATA!$E$2:$E$45,PROGRAM_DATA!$D$2:$D$45)</f>
        <v>BSC</v>
      </c>
      <c r="G34" s="3" t="s">
        <v>90</v>
      </c>
      <c r="H34" s="3" t="str">
        <f t="shared" si="0"/>
        <v>SPC-AHS-HS-BSC-MLT</v>
      </c>
      <c r="I34" s="3" t="s">
        <v>282</v>
      </c>
      <c r="J34" s="3" t="s">
        <v>256</v>
      </c>
    </row>
    <row r="35" spans="1:10">
      <c r="A35" t="str">
        <f>_xlfn.XLOOKUP(C35,DEPARTMENT_DATA!$C$2:$C$24,DEPARTMENT_DATA!$A$2:$A$24)</f>
        <v>FAC-AHS</v>
      </c>
      <c r="B35" t="str">
        <f>_xlfn.XLOOKUP(A35,DEPARTMENT_DATA!$A$2:$A$24,DEPARTMENT_DATA!$B$2:$B$24)</f>
        <v>AHS</v>
      </c>
      <c r="C35" t="str">
        <f>_xlfn.XLOOKUP(E35,DEPARTMENT_DATA!$E$2:$E$24,DEPARTMENT_DATA!$C$2:$C$24)</f>
        <v>DEP-AHS-HS</v>
      </c>
      <c r="D35" t="str">
        <f>_xlfn.XLOOKUP(E35,DEPARTMENT_DATA!$E$2:$E$24,DEPARTMENT_DATA!$D$2:$D$24)</f>
        <v>HS</v>
      </c>
      <c r="E35" t="s">
        <v>81</v>
      </c>
      <c r="F35" t="str">
        <f>_xlfn.XLOOKUP(G35,PROGRAM_DATA!$E$2:$E$45,PROGRAM_DATA!$D$2:$D$45)</f>
        <v>BSC</v>
      </c>
      <c r="G35" s="3" t="s">
        <v>90</v>
      </c>
      <c r="H35" s="3" t="str">
        <f t="shared" si="0"/>
        <v>SPC-AHS-HS-BSC-CT</v>
      </c>
      <c r="I35" s="3" t="s">
        <v>267</v>
      </c>
      <c r="J35" s="3" t="s">
        <v>257</v>
      </c>
    </row>
    <row r="36" spans="1:10">
      <c r="A36" t="str">
        <f>_xlfn.XLOOKUP(C36,DEPARTMENT_DATA!$C$2:$C$24,DEPARTMENT_DATA!$A$2:$A$24)</f>
        <v>FAC-AHS</v>
      </c>
      <c r="B36" t="str">
        <f>_xlfn.XLOOKUP(A36,DEPARTMENT_DATA!$A$2:$A$24,DEPARTMENT_DATA!$B$2:$B$24)</f>
        <v>AHS</v>
      </c>
      <c r="C36" t="str">
        <f>_xlfn.XLOOKUP(E36,DEPARTMENT_DATA!$E$2:$E$24,DEPARTMENT_DATA!$C$2:$C$24)</f>
        <v>DEP-AHS-HS</v>
      </c>
      <c r="D36" t="str">
        <f>_xlfn.XLOOKUP(E36,DEPARTMENT_DATA!$E$2:$E$24,DEPARTMENT_DATA!$D$2:$D$24)</f>
        <v>HS</v>
      </c>
      <c r="E36" t="s">
        <v>81</v>
      </c>
      <c r="F36" t="str">
        <f>_xlfn.XLOOKUP(G36,PROGRAM_DATA!$E$2:$E$45,PROGRAM_DATA!$D$2:$D$45)</f>
        <v>BSC</v>
      </c>
      <c r="G36" s="3" t="s">
        <v>90</v>
      </c>
      <c r="H36" s="3" t="str">
        <f t="shared" si="0"/>
        <v>SPC-AHS-HS-BSC-RT</v>
      </c>
      <c r="I36" s="3" t="s">
        <v>283</v>
      </c>
      <c r="J36" s="3" t="s">
        <v>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9C247-6268-4741-A32D-2349FDBDDDE3}">
  <dimension ref="A1:O45"/>
  <sheetViews>
    <sheetView topLeftCell="A26" workbookViewId="0">
      <selection activeCell="C2" sqref="C2:C45"/>
    </sheetView>
  </sheetViews>
  <sheetFormatPr defaultRowHeight="14.4"/>
  <cols>
    <col min="1" max="1" width="20.109375" customWidth="1"/>
    <col min="2" max="2" width="18.5546875" customWidth="1"/>
    <col min="3" max="3" width="25.5546875" customWidth="1"/>
    <col min="4" max="5" width="16.44140625" customWidth="1"/>
    <col min="6" max="6" width="46.6640625" customWidth="1"/>
    <col min="7" max="7" width="21.88671875" customWidth="1"/>
    <col min="8" max="8" width="26.109375" customWidth="1"/>
    <col min="10" max="10" width="14.6640625" customWidth="1"/>
    <col min="15" max="15" width="22.44140625" customWidth="1"/>
  </cols>
  <sheetData>
    <row r="1" spans="1:15">
      <c r="A1" s="5" t="s">
        <v>9</v>
      </c>
      <c r="B1" s="2" t="s">
        <v>32</v>
      </c>
      <c r="C1" s="2" t="s">
        <v>0</v>
      </c>
      <c r="D1" s="5" t="s">
        <v>83</v>
      </c>
      <c r="E1" s="5" t="s">
        <v>186</v>
      </c>
      <c r="F1" s="5" t="s">
        <v>85</v>
      </c>
      <c r="G1" s="5" t="s">
        <v>84</v>
      </c>
      <c r="H1" s="5" t="s">
        <v>86</v>
      </c>
      <c r="I1" s="5" t="s">
        <v>170</v>
      </c>
      <c r="J1" s="5"/>
    </row>
    <row r="2" spans="1:15">
      <c r="A2" t="str">
        <f>_xlfn.XLOOKUP(D2,DEPARTMENT_DATA!C$2:C$24,DEPARTMENT_DATA!A$2:A$24)</f>
        <v>FAC-AHS</v>
      </c>
      <c r="B2" t="str">
        <f>_xlfn.XLOOKUP(E2,DEPARTMENT_DATA!D$2:D$24,DEPARTMENT_DATA!B$2:B$24)</f>
        <v>AHS</v>
      </c>
      <c r="C2" t="str">
        <f>_xlfn.XLOOKUP(A2,FACULTY_DATA!$B$2:$B$9,FACULTY_DATA!$D$2:$D$9)</f>
        <v>Faculty of Allied Health Sciences</v>
      </c>
      <c r="D2" t="s">
        <v>172</v>
      </c>
      <c r="E2" t="str">
        <f>_xlfn.XLOOKUP(D2,DEPARTMENT_DATA!$C$2:$C$24,DEPARTMENT_DATA!$D$2:$D$24)</f>
        <v>HS</v>
      </c>
      <c r="F2" t="s">
        <v>81</v>
      </c>
      <c r="G2" t="str">
        <f>"PRG-"&amp;B2&amp;"-"&amp;E2&amp;"-"&amp;H2</f>
        <v>PRG-AHS-HS-BSC</v>
      </c>
      <c r="H2" t="s">
        <v>87</v>
      </c>
      <c r="I2" t="s">
        <v>90</v>
      </c>
    </row>
    <row r="3" spans="1:15" ht="27" customHeight="1">
      <c r="A3" t="str">
        <f>_xlfn.XLOOKUP(D3,DEPARTMENT_DATA!C$2:C$24,DEPARTMENT_DATA!A$2:A$24)</f>
        <v>FAC-AHSS</v>
      </c>
      <c r="B3" t="str">
        <f>_xlfn.XLOOKUP(E3,DEPARTMENT_DATA!D$2:D$24,DEPARTMENT_DATA!B$2:B$24)</f>
        <v>AHSS</v>
      </c>
      <c r="C3" t="str">
        <f>_xlfn.XLOOKUP(A3,FACULTY_DATA!$B$2:$B$9,FACULTY_DATA!$D$2:$D$9)</f>
        <v>Faculty of Arts, Humanities &amp; Social Sciences</v>
      </c>
      <c r="D3" t="s">
        <v>173</v>
      </c>
      <c r="E3" t="str">
        <f>_xlfn.XLOOKUP(D3,DEPARTMENT_DATA!$C$2:$C$24,DEPARTMENT_DATA!$D$2:$D$24)</f>
        <v>JMC</v>
      </c>
      <c r="F3" t="s">
        <v>11</v>
      </c>
      <c r="G3" t="str">
        <f t="shared" ref="G3:G44" si="0">"PRG-"&amp;B3&amp;"-"&amp;E3&amp;"-"&amp;H3</f>
        <v>PRG-AHSS-JMC-BJMC</v>
      </c>
      <c r="H3" t="s">
        <v>77</v>
      </c>
      <c r="I3" t="s">
        <v>91</v>
      </c>
      <c r="O3" s="3"/>
    </row>
    <row r="4" spans="1:15">
      <c r="A4" t="str">
        <f>_xlfn.XLOOKUP(D4,DEPARTMENT_DATA!C$2:C$24,DEPARTMENT_DATA!A$2:A$24)</f>
        <v>FAC-AHSS</v>
      </c>
      <c r="B4" t="str">
        <f>_xlfn.XLOOKUP(E4,DEPARTMENT_DATA!D$2:D$24,DEPARTMENT_DATA!B$2:B$24)</f>
        <v>AHSS</v>
      </c>
      <c r="C4" t="str">
        <f>_xlfn.XLOOKUP(A4,FACULTY_DATA!$B$2:$B$9,FACULTY_DATA!$D$2:$D$9)</f>
        <v>Faculty of Arts, Humanities &amp; Social Sciences</v>
      </c>
      <c r="D4" t="s">
        <v>174</v>
      </c>
      <c r="E4" t="str">
        <f>_xlfn.XLOOKUP(D4,DEPARTMENT_DATA!$C$2:$C$24,DEPARTMENT_DATA!$D$2:$D$24)</f>
        <v>ENG</v>
      </c>
      <c r="F4" t="s">
        <v>12</v>
      </c>
      <c r="G4" t="str">
        <f t="shared" si="0"/>
        <v>PRG-AHSS-ENG-MA-ENG</v>
      </c>
      <c r="H4" t="s">
        <v>135</v>
      </c>
      <c r="I4" t="s">
        <v>92</v>
      </c>
    </row>
    <row r="5" spans="1:15">
      <c r="A5" t="str">
        <f>_xlfn.XLOOKUP(D5,DEPARTMENT_DATA!C$2:C$24,DEPARTMENT_DATA!A$2:A$24)</f>
        <v>FAC-COM</v>
      </c>
      <c r="B5" t="str">
        <f>_xlfn.XLOOKUP(E5,DEPARTMENT_DATA!D$2:D$24,DEPARTMENT_DATA!B$2:B$24)</f>
        <v>COM</v>
      </c>
      <c r="C5" t="str">
        <f>_xlfn.XLOOKUP(A5,FACULTY_DATA!$B$2:$B$9,FACULTY_DATA!$D$2:$D$9)</f>
        <v>Faculty of Commerce</v>
      </c>
      <c r="D5" t="s">
        <v>175</v>
      </c>
      <c r="E5" t="str">
        <f>_xlfn.XLOOKUP(D5,DEPARTMENT_DATA!$C$2:$C$24,DEPARTMENT_DATA!$D$2:$D$24)</f>
        <v>COM</v>
      </c>
      <c r="F5" t="s">
        <v>10</v>
      </c>
      <c r="G5" t="str">
        <f t="shared" si="0"/>
        <v>PRG-COM-COM-BCOM</v>
      </c>
      <c r="H5" t="s">
        <v>88</v>
      </c>
      <c r="I5" t="s">
        <v>93</v>
      </c>
    </row>
    <row r="6" spans="1:15">
      <c r="A6" t="str">
        <f>_xlfn.XLOOKUP(D6,DEPARTMENT_DATA!C$2:C$24,DEPARTMENT_DATA!A$2:A$24)</f>
        <v>FAC-COM</v>
      </c>
      <c r="B6" t="str">
        <f>_xlfn.XLOOKUP(E6,DEPARTMENT_DATA!D$2:D$24,DEPARTMENT_DATA!B$2:B$24)</f>
        <v>COM</v>
      </c>
      <c r="C6" t="str">
        <f>_xlfn.XLOOKUP(A6,FACULTY_DATA!$B$2:$B$9,FACULTY_DATA!$D$2:$D$9)</f>
        <v>Faculty of Commerce</v>
      </c>
      <c r="D6" t="s">
        <v>175</v>
      </c>
      <c r="E6" t="str">
        <f>_xlfn.XLOOKUP(D6,DEPARTMENT_DATA!$C$2:$C$24,DEPARTMENT_DATA!$D$2:$D$24)</f>
        <v>COM</v>
      </c>
      <c r="F6" t="s">
        <v>10</v>
      </c>
      <c r="G6" t="str">
        <f t="shared" si="0"/>
        <v>PRG-COM-COM-BCOM-GF</v>
      </c>
      <c r="H6" t="s">
        <v>136</v>
      </c>
      <c r="I6" t="s">
        <v>94</v>
      </c>
    </row>
    <row r="7" spans="1:15">
      <c r="A7" t="str">
        <f>_xlfn.XLOOKUP(D7,DEPARTMENT_DATA!C$2:C$24,DEPARTMENT_DATA!A$2:A$24)</f>
        <v>FAC-ENG</v>
      </c>
      <c r="B7" t="str">
        <f>_xlfn.XLOOKUP(E7,DEPARTMENT_DATA!D$2:D$24,DEPARTMENT_DATA!B$2:B$24)</f>
        <v>ENG</v>
      </c>
      <c r="C7" t="str">
        <f>_xlfn.XLOOKUP(A7,FACULTY_DATA!$B$2:$B$9,FACULTY_DATA!$D$2:$D$9)</f>
        <v>Faculty of Engineering</v>
      </c>
      <c r="D7" t="s">
        <v>34</v>
      </c>
      <c r="E7" t="str">
        <f>_xlfn.XLOOKUP(D7,DEPARTMENT_DATA!$C$2:$C$24,DEPARTMENT_DATA!$D$2:$D$24)</f>
        <v>CSE</v>
      </c>
      <c r="F7" t="s">
        <v>13</v>
      </c>
      <c r="G7" t="str">
        <f t="shared" si="0"/>
        <v>PRG-ENG-CSE-BTECH-CSE</v>
      </c>
      <c r="H7" t="s">
        <v>137</v>
      </c>
      <c r="I7" t="s">
        <v>95</v>
      </c>
    </row>
    <row r="8" spans="1:15">
      <c r="A8" t="str">
        <f>_xlfn.XLOOKUP(D8,DEPARTMENT_DATA!C$2:C$24,DEPARTMENT_DATA!A$2:A$24)</f>
        <v>FAC-ENG</v>
      </c>
      <c r="B8" t="str">
        <f>_xlfn.XLOOKUP(E8,DEPARTMENT_DATA!D$2:D$24,DEPARTMENT_DATA!B$2:B$24)</f>
        <v>ENG</v>
      </c>
      <c r="C8" t="str">
        <f>_xlfn.XLOOKUP(A8,FACULTY_DATA!$B$2:$B$9,FACULTY_DATA!$D$2:$D$9)</f>
        <v>Faculty of Engineering</v>
      </c>
      <c r="D8" t="s">
        <v>34</v>
      </c>
      <c r="E8" t="str">
        <f>_xlfn.XLOOKUP(D8,DEPARTMENT_DATA!$C$2:$C$24,DEPARTMENT_DATA!$D$2:$D$24)</f>
        <v>CSE</v>
      </c>
      <c r="F8" t="s">
        <v>13</v>
      </c>
      <c r="G8" t="str">
        <f t="shared" si="0"/>
        <v>PRG-ENG-CSE-INT-CSE</v>
      </c>
      <c r="H8" t="s">
        <v>138</v>
      </c>
      <c r="I8" t="s">
        <v>96</v>
      </c>
    </row>
    <row r="9" spans="1:15">
      <c r="A9" t="str">
        <f>_xlfn.XLOOKUP(D9,DEPARTMENT_DATA!C$2:C$24,DEPARTMENT_DATA!A$2:A$24)</f>
        <v>FAC-ENG</v>
      </c>
      <c r="B9" t="str">
        <f>_xlfn.XLOOKUP(E9,DEPARTMENT_DATA!D$2:D$24,DEPARTMENT_DATA!B$2:B$24)</f>
        <v>ENG</v>
      </c>
      <c r="C9" t="str">
        <f>_xlfn.XLOOKUP(A9,FACULTY_DATA!$B$2:$B$9,FACULTY_DATA!$D$2:$D$9)</f>
        <v>Faculty of Engineering</v>
      </c>
      <c r="D9" t="s">
        <v>34</v>
      </c>
      <c r="E9" t="str">
        <f>_xlfn.XLOOKUP(D9,DEPARTMENT_DATA!$C$2:$C$24,DEPARTMENT_DATA!$D$2:$D$24)</f>
        <v>CSE</v>
      </c>
      <c r="F9" t="s">
        <v>13</v>
      </c>
      <c r="G9" t="str">
        <f t="shared" si="0"/>
        <v>PRG-ENG-CSE-MTECH-CSE</v>
      </c>
      <c r="H9" t="s">
        <v>139</v>
      </c>
      <c r="I9" t="s">
        <v>97</v>
      </c>
    </row>
    <row r="10" spans="1:15">
      <c r="A10" t="str">
        <f>_xlfn.XLOOKUP(D10,DEPARTMENT_DATA!C$2:C$24,DEPARTMENT_DATA!A$2:A$24)</f>
        <v>FAC-ENG</v>
      </c>
      <c r="B10" t="str">
        <f>_xlfn.XLOOKUP(E10,DEPARTMENT_DATA!D$2:D$24,DEPARTMENT_DATA!B$2:B$24)</f>
        <v>ENG</v>
      </c>
      <c r="C10" t="str">
        <f>_xlfn.XLOOKUP(A10,FACULTY_DATA!$B$2:$B$9,FACULTY_DATA!$D$2:$D$9)</f>
        <v>Faculty of Engineering</v>
      </c>
      <c r="D10" t="s">
        <v>34</v>
      </c>
      <c r="E10" t="str">
        <f>_xlfn.XLOOKUP(D10,DEPARTMENT_DATA!$C$2:$C$24,DEPARTMENT_DATA!$D$2:$D$24)</f>
        <v>CSE</v>
      </c>
      <c r="F10" t="s">
        <v>13</v>
      </c>
      <c r="G10" t="str">
        <f t="shared" si="0"/>
        <v>PRG-ENG-CSE-BCA</v>
      </c>
      <c r="H10" t="s">
        <v>75</v>
      </c>
      <c r="I10" t="s">
        <v>98</v>
      </c>
    </row>
    <row r="11" spans="1:15">
      <c r="A11" t="str">
        <f>_xlfn.XLOOKUP(D11,DEPARTMENT_DATA!C$2:C$24,DEPARTMENT_DATA!A$2:A$24)</f>
        <v>FAC-ENG</v>
      </c>
      <c r="B11" t="str">
        <f>_xlfn.XLOOKUP(E11,DEPARTMENT_DATA!D$2:D$24,DEPARTMENT_DATA!B$2:B$24)</f>
        <v>ENG</v>
      </c>
      <c r="C11" t="str">
        <f>_xlfn.XLOOKUP(A11,FACULTY_DATA!$B$2:$B$9,FACULTY_DATA!$D$2:$D$9)</f>
        <v>Faculty of Engineering</v>
      </c>
      <c r="D11" t="s">
        <v>34</v>
      </c>
      <c r="E11" t="str">
        <f>_xlfn.XLOOKUP(D11,DEPARTMENT_DATA!$C$2:$C$24,DEPARTMENT_DATA!$D$2:$D$24)</f>
        <v>CSE</v>
      </c>
      <c r="F11" t="s">
        <v>13</v>
      </c>
      <c r="G11" t="str">
        <f t="shared" si="0"/>
        <v>PRG-ENG-CSE-MCA</v>
      </c>
      <c r="H11" t="s">
        <v>76</v>
      </c>
      <c r="I11" t="s">
        <v>99</v>
      </c>
    </row>
    <row r="12" spans="1:15">
      <c r="A12" t="str">
        <f>_xlfn.XLOOKUP(D12,DEPARTMENT_DATA!C$2:C$24,DEPARTMENT_DATA!A$2:A$24)</f>
        <v>FAC-ENG</v>
      </c>
      <c r="B12" t="str">
        <f>_xlfn.XLOOKUP(E12,DEPARTMENT_DATA!D$2:D$24,DEPARTMENT_DATA!B$2:B$24)</f>
        <v>ENG</v>
      </c>
      <c r="C12" t="str">
        <f>_xlfn.XLOOKUP(A12,FACULTY_DATA!$B$2:$B$9,FACULTY_DATA!$D$2:$D$9)</f>
        <v>Faculty of Engineering</v>
      </c>
      <c r="D12" t="s">
        <v>36</v>
      </c>
      <c r="E12" t="str">
        <f>_xlfn.XLOOKUP(D12,DEPARTMENT_DATA!$C$2:$C$24,DEPARTMENT_DATA!$D$2:$D$24)</f>
        <v>IT</v>
      </c>
      <c r="F12" t="s">
        <v>14</v>
      </c>
      <c r="G12" t="str">
        <f t="shared" si="0"/>
        <v>PRG-ENG-IT-BTECH-IT</v>
      </c>
      <c r="H12" t="s">
        <v>140</v>
      </c>
      <c r="I12" t="s">
        <v>100</v>
      </c>
    </row>
    <row r="13" spans="1:15">
      <c r="A13" t="str">
        <f>_xlfn.XLOOKUP(D13,DEPARTMENT_DATA!C$2:C$24,DEPARTMENT_DATA!A$2:A$24)</f>
        <v>FAC-ENG</v>
      </c>
      <c r="B13" t="str">
        <f>_xlfn.XLOOKUP(E13,DEPARTMENT_DATA!D$2:D$24,DEPARTMENT_DATA!B$2:B$24)</f>
        <v>ENG</v>
      </c>
      <c r="C13" t="str">
        <f>_xlfn.XLOOKUP(A13,FACULTY_DATA!$B$2:$B$9,FACULTY_DATA!$D$2:$D$9)</f>
        <v>Faculty of Engineering</v>
      </c>
      <c r="D13" t="s">
        <v>36</v>
      </c>
      <c r="E13" t="str">
        <f>_xlfn.XLOOKUP(D13,DEPARTMENT_DATA!$C$2:$C$24,DEPARTMENT_DATA!$D$2:$D$24)</f>
        <v>IT</v>
      </c>
      <c r="F13" t="s">
        <v>14</v>
      </c>
      <c r="G13" t="str">
        <f t="shared" si="0"/>
        <v>PRG-ENG-IT-MTECH-IT</v>
      </c>
      <c r="H13" t="s">
        <v>141</v>
      </c>
      <c r="I13" t="s">
        <v>101</v>
      </c>
    </row>
    <row r="14" spans="1:15">
      <c r="A14" t="str">
        <f>_xlfn.XLOOKUP(D14,DEPARTMENT_DATA!C$2:C$24,DEPARTMENT_DATA!A$2:A$24)</f>
        <v>FAC-ENG</v>
      </c>
      <c r="B14" t="str">
        <f>_xlfn.XLOOKUP(E14,DEPARTMENT_DATA!D$2:D$24,DEPARTMENT_DATA!B$2:B$24)</f>
        <v>ENG</v>
      </c>
      <c r="C14" t="str">
        <f>_xlfn.XLOOKUP(A14,FACULTY_DATA!$B$2:$B$9,FACULTY_DATA!$D$2:$D$9)</f>
        <v>Faculty of Engineering</v>
      </c>
      <c r="D14" t="s">
        <v>37</v>
      </c>
      <c r="E14" t="str">
        <f>_xlfn.XLOOKUP(D14,DEPARTMENT_DATA!$C$2:$C$24,DEPARTMENT_DATA!$D$2:$D$24)</f>
        <v>RA</v>
      </c>
      <c r="F14" t="s">
        <v>15</v>
      </c>
      <c r="G14" t="str">
        <f t="shared" si="0"/>
        <v>PRG-ENG-RA-BTECH-RA</v>
      </c>
      <c r="H14" t="s">
        <v>142</v>
      </c>
      <c r="I14" t="s">
        <v>102</v>
      </c>
    </row>
    <row r="15" spans="1:15">
      <c r="A15" t="str">
        <f>_xlfn.XLOOKUP(D15,DEPARTMENT_DATA!C$2:C$24,DEPARTMENT_DATA!A$2:A$24)</f>
        <v>FAC-ENG</v>
      </c>
      <c r="B15" t="str">
        <f>_xlfn.XLOOKUP(E15,DEPARTMENT_DATA!D$2:D$24,DEPARTMENT_DATA!B$2:B$24)</f>
        <v>ENG</v>
      </c>
      <c r="C15" t="str">
        <f>_xlfn.XLOOKUP(A15,FACULTY_DATA!$B$2:$B$9,FACULTY_DATA!$D$2:$D$9)</f>
        <v>Faculty of Engineering</v>
      </c>
      <c r="D15" t="s">
        <v>38</v>
      </c>
      <c r="E15" t="str">
        <f>_xlfn.XLOOKUP(D15,DEPARTMENT_DATA!$C$2:$C$24,DEPARTMENT_DATA!$D$2:$D$24)</f>
        <v>AE</v>
      </c>
      <c r="F15" t="s">
        <v>16</v>
      </c>
      <c r="G15" t="str">
        <f t="shared" si="0"/>
        <v>PRG-ENG-AE-BTECH-AE</v>
      </c>
      <c r="H15" t="s">
        <v>143</v>
      </c>
      <c r="I15" t="s">
        <v>103</v>
      </c>
    </row>
    <row r="16" spans="1:15">
      <c r="A16" t="str">
        <f>_xlfn.XLOOKUP(D16,DEPARTMENT_DATA!C$2:C$24,DEPARTMENT_DATA!A$2:A$24)</f>
        <v>FAC-ENG</v>
      </c>
      <c r="B16" t="str">
        <f>_xlfn.XLOOKUP(E16,DEPARTMENT_DATA!D$2:D$24,DEPARTMENT_DATA!B$2:B$24)</f>
        <v>ENG</v>
      </c>
      <c r="C16" t="str">
        <f>_xlfn.XLOOKUP(A16,FACULTY_DATA!$B$2:$B$9,FACULTY_DATA!$D$2:$D$9)</f>
        <v>Faculty of Engineering</v>
      </c>
      <c r="D16" t="s">
        <v>39</v>
      </c>
      <c r="E16" t="str">
        <f>_xlfn.XLOOKUP(D16,DEPARTMENT_DATA!$C$2:$C$24,DEPARTMENT_DATA!$D$2:$D$24)</f>
        <v>CE</v>
      </c>
      <c r="F16" t="s">
        <v>17</v>
      </c>
      <c r="G16" t="str">
        <f t="shared" si="0"/>
        <v>PRG-ENG-CE-BTECH-CE</v>
      </c>
      <c r="H16" t="s">
        <v>144</v>
      </c>
      <c r="I16" t="s">
        <v>104</v>
      </c>
    </row>
    <row r="17" spans="1:9">
      <c r="A17" t="str">
        <f>_xlfn.XLOOKUP(D17,DEPARTMENT_DATA!C$2:C$24,DEPARTMENT_DATA!A$2:A$24)</f>
        <v>FAC-ENG</v>
      </c>
      <c r="B17" t="str">
        <f>_xlfn.XLOOKUP(E17,DEPARTMENT_DATA!D$2:D$24,DEPARTMENT_DATA!B$2:B$24)</f>
        <v>ENG</v>
      </c>
      <c r="C17" t="str">
        <f>_xlfn.XLOOKUP(A17,FACULTY_DATA!$B$2:$B$9,FACULTY_DATA!$D$2:$D$9)</f>
        <v>Faculty of Engineering</v>
      </c>
      <c r="D17" t="s">
        <v>39</v>
      </c>
      <c r="E17" t="str">
        <f>_xlfn.XLOOKUP(D17,DEPARTMENT_DATA!$C$2:$C$24,DEPARTMENT_DATA!$D$2:$D$24)</f>
        <v>CE</v>
      </c>
      <c r="F17" t="s">
        <v>17</v>
      </c>
      <c r="G17" t="str">
        <f t="shared" si="0"/>
        <v>PRG-ENG-CE-MTECH-CE</v>
      </c>
      <c r="H17" t="s">
        <v>145</v>
      </c>
      <c r="I17" t="s">
        <v>105</v>
      </c>
    </row>
    <row r="18" spans="1:9">
      <c r="A18" t="str">
        <f>_xlfn.XLOOKUP(D18,DEPARTMENT_DATA!C$2:C$24,DEPARTMENT_DATA!A$2:A$24)</f>
        <v>FAC-ENG</v>
      </c>
      <c r="B18" t="str">
        <f>_xlfn.XLOOKUP(E18,DEPARTMENT_DATA!D$2:D$24,DEPARTMENT_DATA!B$2:B$24)</f>
        <v>ENG</v>
      </c>
      <c r="C18" t="str">
        <f>_xlfn.XLOOKUP(A18,FACULTY_DATA!$B$2:$B$9,FACULTY_DATA!$D$2:$D$9)</f>
        <v>Faculty of Engineering</v>
      </c>
      <c r="D18" t="s">
        <v>40</v>
      </c>
      <c r="E18" t="str">
        <f>_xlfn.XLOOKUP(D18,DEPARTMENT_DATA!$C$2:$C$24,DEPARTMENT_DATA!$D$2:$D$24)</f>
        <v>ECE</v>
      </c>
      <c r="F18" t="s">
        <v>18</v>
      </c>
      <c r="G18" t="str">
        <f t="shared" si="0"/>
        <v>PRG-ENG-ECE-BTECH-ECE</v>
      </c>
      <c r="H18" t="s">
        <v>146</v>
      </c>
      <c r="I18" t="s">
        <v>106</v>
      </c>
    </row>
    <row r="19" spans="1:9">
      <c r="A19" t="str">
        <f>_xlfn.XLOOKUP(D19,DEPARTMENT_DATA!C$2:C$24,DEPARTMENT_DATA!A$2:A$24)</f>
        <v>FAC-ENG</v>
      </c>
      <c r="B19" t="str">
        <f>_xlfn.XLOOKUP(E19,DEPARTMENT_DATA!D$2:D$24,DEPARTMENT_DATA!B$2:B$24)</f>
        <v>ENG</v>
      </c>
      <c r="C19" t="str">
        <f>_xlfn.XLOOKUP(A19,FACULTY_DATA!$B$2:$B$9,FACULTY_DATA!$D$2:$D$9)</f>
        <v>Faculty of Engineering</v>
      </c>
      <c r="D19" t="s">
        <v>40</v>
      </c>
      <c r="E19" t="str">
        <f>_xlfn.XLOOKUP(D19,DEPARTMENT_DATA!$C$2:$C$24,DEPARTMENT_DATA!$D$2:$D$24)</f>
        <v>ECE</v>
      </c>
      <c r="F19" t="s">
        <v>18</v>
      </c>
      <c r="G19" t="str">
        <f t="shared" si="0"/>
        <v>PRG-ENG-ECE-MTECH-ECE</v>
      </c>
      <c r="H19" t="s">
        <v>147</v>
      </c>
      <c r="I19" t="s">
        <v>107</v>
      </c>
    </row>
    <row r="20" spans="1:9">
      <c r="A20" t="str">
        <f>_xlfn.XLOOKUP(D20,DEPARTMENT_DATA!C$2:C$24,DEPARTMENT_DATA!A$2:A$24)</f>
        <v>FAC-ENG</v>
      </c>
      <c r="B20" t="str">
        <f>_xlfn.XLOOKUP(E20,DEPARTMENT_DATA!D$2:D$24,DEPARTMENT_DATA!B$2:B$24)</f>
        <v>ENG</v>
      </c>
      <c r="C20" t="str">
        <f>_xlfn.XLOOKUP(A20,FACULTY_DATA!$B$2:$B$9,FACULTY_DATA!$D$2:$D$9)</f>
        <v>Faculty of Engineering</v>
      </c>
      <c r="D20" t="s">
        <v>41</v>
      </c>
      <c r="E20" t="str">
        <f>_xlfn.XLOOKUP(D20,DEPARTMENT_DATA!$C$2:$C$24,DEPARTMENT_DATA!$D$2:$D$24)</f>
        <v>EE</v>
      </c>
      <c r="F20" t="s">
        <v>19</v>
      </c>
      <c r="G20" t="str">
        <f t="shared" si="0"/>
        <v>PRG-ENG-EE-BTECH-EE</v>
      </c>
      <c r="H20" t="s">
        <v>148</v>
      </c>
      <c r="I20" t="s">
        <v>108</v>
      </c>
    </row>
    <row r="21" spans="1:9">
      <c r="A21" t="str">
        <f>_xlfn.XLOOKUP(D21,DEPARTMENT_DATA!C$2:C$24,DEPARTMENT_DATA!A$2:A$24)</f>
        <v>FAC-ENG</v>
      </c>
      <c r="B21" t="str">
        <f>_xlfn.XLOOKUP(E21,DEPARTMENT_DATA!D$2:D$24,DEPARTMENT_DATA!B$2:B$24)</f>
        <v>ENG</v>
      </c>
      <c r="C21" t="str">
        <f>_xlfn.XLOOKUP(A21,FACULTY_DATA!$B$2:$B$9,FACULTY_DATA!$D$2:$D$9)</f>
        <v>Faculty of Engineering</v>
      </c>
      <c r="D21" t="s">
        <v>41</v>
      </c>
      <c r="E21" t="str">
        <f>_xlfn.XLOOKUP(D21,DEPARTMENT_DATA!$C$2:$C$24,DEPARTMENT_DATA!$D$2:$D$24)</f>
        <v>EE</v>
      </c>
      <c r="F21" t="s">
        <v>19</v>
      </c>
      <c r="G21" t="str">
        <f t="shared" si="0"/>
        <v>PRG-ENG-EE-MTECH-EE</v>
      </c>
      <c r="H21" t="s">
        <v>149</v>
      </c>
      <c r="I21" t="s">
        <v>109</v>
      </c>
    </row>
    <row r="22" spans="1:9">
      <c r="A22" t="str">
        <f>_xlfn.XLOOKUP(D22,DEPARTMENT_DATA!C$2:C$24,DEPARTMENT_DATA!A$2:A$24)</f>
        <v>FAC-ENG</v>
      </c>
      <c r="B22" t="str">
        <f>_xlfn.XLOOKUP(E22,DEPARTMENT_DATA!D$2:D$24,DEPARTMENT_DATA!B$2:B$24)</f>
        <v>ENG</v>
      </c>
      <c r="C22" t="str">
        <f>_xlfn.XLOOKUP(A22,FACULTY_DATA!$B$2:$B$9,FACULTY_DATA!$D$2:$D$9)</f>
        <v>Faculty of Engineering</v>
      </c>
      <c r="D22" t="s">
        <v>42</v>
      </c>
      <c r="E22" t="str">
        <f>_xlfn.XLOOKUP(D22,DEPARTMENT_DATA!$C$2:$C$24,DEPARTMENT_DATA!$D$2:$D$24)</f>
        <v>ME</v>
      </c>
      <c r="F22" t="s">
        <v>20</v>
      </c>
      <c r="G22" t="str">
        <f t="shared" si="0"/>
        <v>PRG-ENG-ME-BTECH-ME</v>
      </c>
      <c r="H22" t="s">
        <v>150</v>
      </c>
      <c r="I22" t="s">
        <v>110</v>
      </c>
    </row>
    <row r="23" spans="1:9">
      <c r="A23" t="str">
        <f>_xlfn.XLOOKUP(D23,DEPARTMENT_DATA!C$2:C$24,DEPARTMENT_DATA!A$2:A$24)</f>
        <v>FAC-ENG</v>
      </c>
      <c r="B23" t="str">
        <f>_xlfn.XLOOKUP(E23,DEPARTMENT_DATA!D$2:D$24,DEPARTMENT_DATA!B$2:B$24)</f>
        <v>ENG</v>
      </c>
      <c r="C23" t="str">
        <f>_xlfn.XLOOKUP(A23,FACULTY_DATA!$B$2:$B$9,FACULTY_DATA!$D$2:$D$9)</f>
        <v>Faculty of Engineering</v>
      </c>
      <c r="D23" t="s">
        <v>42</v>
      </c>
      <c r="E23" t="str">
        <f>_xlfn.XLOOKUP(D23,DEPARTMENT_DATA!$C$2:$C$24,DEPARTMENT_DATA!$D$2:$D$24)</f>
        <v>ME</v>
      </c>
      <c r="F23" t="s">
        <v>20</v>
      </c>
      <c r="G23" t="str">
        <f t="shared" si="0"/>
        <v>PRG-ENG-ME-MTECH-ME</v>
      </c>
      <c r="H23" t="s">
        <v>151</v>
      </c>
      <c r="I23" t="s">
        <v>111</v>
      </c>
    </row>
    <row r="24" spans="1:9">
      <c r="A24" t="str">
        <f>_xlfn.XLOOKUP(D24,DEPARTMENT_DATA!C$2:C$24,DEPARTMENT_DATA!A$2:A$24)</f>
        <v>FAC-ENG</v>
      </c>
      <c r="B24" t="str">
        <f>_xlfn.XLOOKUP(E24,DEPARTMENT_DATA!D$2:D$24,DEPARTMENT_DATA!B$2:B$24)</f>
        <v>ENG</v>
      </c>
      <c r="C24" t="str">
        <f>_xlfn.XLOOKUP(A24,FACULTY_DATA!$B$2:$B$9,FACULTY_DATA!$D$2:$D$9)</f>
        <v>Faculty of Engineering</v>
      </c>
      <c r="D24" t="s">
        <v>43</v>
      </c>
      <c r="E24" t="str">
        <f>_xlfn.XLOOKUP(D24,DEPARTMENT_DATA!$C$2:$C$24,DEPARTMENT_DATA!$D$2:$D$24)</f>
        <v>NT</v>
      </c>
      <c r="F24" t="s">
        <v>21</v>
      </c>
      <c r="G24" t="str">
        <f t="shared" si="0"/>
        <v>PRG-ENG-NT-MTECH-NT</v>
      </c>
      <c r="H24" t="s">
        <v>152</v>
      </c>
      <c r="I24" t="s">
        <v>112</v>
      </c>
    </row>
    <row r="25" spans="1:9">
      <c r="A25" t="str">
        <f>_xlfn.XLOOKUP(D25,DEPARTMENT_DATA!C$2:C$24,DEPARTMENT_DATA!A$2:A$24)</f>
        <v>FAC-LAW</v>
      </c>
      <c r="B25" t="str">
        <f>_xlfn.XLOOKUP(E25,DEPARTMENT_DATA!D$2:D$24,DEPARTMENT_DATA!B$2:B$24)</f>
        <v>LAW</v>
      </c>
      <c r="C25" t="str">
        <f>_xlfn.XLOOKUP(A25,FACULTY_DATA!$B$2:$B$9,FACULTY_DATA!$D$2:$D$9)</f>
        <v>Faculty of Law</v>
      </c>
      <c r="D25" t="s">
        <v>176</v>
      </c>
      <c r="E25" t="str">
        <f>_xlfn.XLOOKUP(D25,DEPARTMENT_DATA!$C$2:$C$24,DEPARTMENT_DATA!$D$2:$D$24)</f>
        <v>LS</v>
      </c>
      <c r="F25" t="s">
        <v>56</v>
      </c>
      <c r="G25" t="str">
        <f t="shared" si="0"/>
        <v>PRG-LAW-LS-BA-LLB</v>
      </c>
      <c r="H25" t="s">
        <v>153</v>
      </c>
      <c r="I25" t="s">
        <v>113</v>
      </c>
    </row>
    <row r="26" spans="1:9">
      <c r="A26" t="str">
        <f>_xlfn.XLOOKUP(D26,DEPARTMENT_DATA!C$2:C$24,DEPARTMENT_DATA!A$2:A$24)</f>
        <v>FAC-LAW</v>
      </c>
      <c r="B26" t="str">
        <f>_xlfn.XLOOKUP(E26,DEPARTMENT_DATA!D$2:D$24,DEPARTMENT_DATA!B$2:B$24)</f>
        <v>LAW</v>
      </c>
      <c r="C26" t="str">
        <f>_xlfn.XLOOKUP(A26,FACULTY_DATA!$B$2:$B$9,FACULTY_DATA!$D$2:$D$9)</f>
        <v>Faculty of Law</v>
      </c>
      <c r="D26" t="s">
        <v>176</v>
      </c>
      <c r="E26" t="str">
        <f>_xlfn.XLOOKUP(D26,DEPARTMENT_DATA!$C$2:$C$24,DEPARTMENT_DATA!$D$2:$D$24)</f>
        <v>LS</v>
      </c>
      <c r="F26" t="s">
        <v>56</v>
      </c>
      <c r="G26" t="str">
        <f t="shared" si="0"/>
        <v>PRG-LAW-LS-BBA-LLB</v>
      </c>
      <c r="H26" t="s">
        <v>154</v>
      </c>
      <c r="I26" t="s">
        <v>114</v>
      </c>
    </row>
    <row r="27" spans="1:9">
      <c r="A27" t="str">
        <f>_xlfn.XLOOKUP(D27,DEPARTMENT_DATA!C$2:C$24,DEPARTMENT_DATA!A$2:A$24)</f>
        <v>FAC-LAW</v>
      </c>
      <c r="B27" t="str">
        <f>_xlfn.XLOOKUP(E27,DEPARTMENT_DATA!D$2:D$24,DEPARTMENT_DATA!B$2:B$24)</f>
        <v>LAW</v>
      </c>
      <c r="C27" t="str">
        <f>_xlfn.XLOOKUP(A27,FACULTY_DATA!$B$2:$B$9,FACULTY_DATA!$D$2:$D$9)</f>
        <v>Faculty of Law</v>
      </c>
      <c r="D27" t="s">
        <v>176</v>
      </c>
      <c r="E27" t="str">
        <f>_xlfn.XLOOKUP(D27,DEPARTMENT_DATA!$C$2:$C$24,DEPARTMENT_DATA!$D$2:$D$24)</f>
        <v>LS</v>
      </c>
      <c r="F27" t="s">
        <v>56</v>
      </c>
      <c r="G27" t="str">
        <f t="shared" si="0"/>
        <v>PRG-LAW-LS-LLB</v>
      </c>
      <c r="H27" t="s">
        <v>155</v>
      </c>
      <c r="I27" t="s">
        <v>115</v>
      </c>
    </row>
    <row r="28" spans="1:9">
      <c r="A28" t="str">
        <f>_xlfn.XLOOKUP(D28,DEPARTMENT_DATA!C$2:C$24,DEPARTMENT_DATA!A$2:A$24)</f>
        <v>FAC-LAW</v>
      </c>
      <c r="B28" t="str">
        <f>_xlfn.XLOOKUP(E28,DEPARTMENT_DATA!D$2:D$24,DEPARTMENT_DATA!B$2:B$24)</f>
        <v>LAW</v>
      </c>
      <c r="C28" t="str">
        <f>_xlfn.XLOOKUP(A28,FACULTY_DATA!$B$2:$B$9,FACULTY_DATA!$D$2:$D$9)</f>
        <v>Faculty of Law</v>
      </c>
      <c r="D28" t="s">
        <v>176</v>
      </c>
      <c r="E28" t="str">
        <f>_xlfn.XLOOKUP(D28,DEPARTMENT_DATA!$C$2:$C$24,DEPARTMENT_DATA!$D$2:$D$24)</f>
        <v>LS</v>
      </c>
      <c r="F28" t="s">
        <v>56</v>
      </c>
      <c r="G28" t="str">
        <f t="shared" si="0"/>
        <v>PRG-LAW-LS-LLM</v>
      </c>
      <c r="H28" t="s">
        <v>80</v>
      </c>
      <c r="I28" t="s">
        <v>116</v>
      </c>
    </row>
    <row r="29" spans="1:9">
      <c r="A29" t="str">
        <f>_xlfn.XLOOKUP(D29,DEPARTMENT_DATA!C$2:C$24,DEPARTMENT_DATA!A$2:A$24)</f>
        <v>FAC-MGT</v>
      </c>
      <c r="B29" t="str">
        <f>_xlfn.XLOOKUP(E29,DEPARTMENT_DATA!D$2:D$24,DEPARTMENT_DATA!B$2:B$24)</f>
        <v>MGT</v>
      </c>
      <c r="C29" t="str">
        <f>_xlfn.XLOOKUP(A29,FACULTY_DATA!$B$2:$B$9,FACULTY_DATA!$D$2:$D$9)</f>
        <v>Faculty of Management</v>
      </c>
      <c r="D29" t="s">
        <v>177</v>
      </c>
      <c r="E29" t="str">
        <f>_xlfn.XLOOKUP(D29,DEPARTMENT_DATA!$C$2:$C$24,DEPARTMENT_DATA!$D$2:$D$24)</f>
        <v>BA</v>
      </c>
      <c r="F29" t="s">
        <v>58</v>
      </c>
      <c r="G29" t="str">
        <f t="shared" si="0"/>
        <v>PRG-MGT-BA-BBA</v>
      </c>
      <c r="H29" t="s">
        <v>78</v>
      </c>
      <c r="I29" t="s">
        <v>117</v>
      </c>
    </row>
    <row r="30" spans="1:9">
      <c r="A30" t="str">
        <f>_xlfn.XLOOKUP(D30,DEPARTMENT_DATA!C$2:C$24,DEPARTMENT_DATA!A$2:A$24)</f>
        <v>FAC-MGT</v>
      </c>
      <c r="B30" t="str">
        <f>_xlfn.XLOOKUP(E30,DEPARTMENT_DATA!D$2:D$24,DEPARTMENT_DATA!B$2:B$24)</f>
        <v>MGT</v>
      </c>
      <c r="C30" t="str">
        <f>_xlfn.XLOOKUP(A30,FACULTY_DATA!$B$2:$B$9,FACULTY_DATA!$D$2:$D$9)</f>
        <v>Faculty of Management</v>
      </c>
      <c r="D30" t="s">
        <v>177</v>
      </c>
      <c r="E30" t="str">
        <f>_xlfn.XLOOKUP(D30,DEPARTMENT_DATA!$C$2:$C$24,DEPARTMENT_DATA!$D$2:$D$24)</f>
        <v>BA</v>
      </c>
      <c r="F30" t="s">
        <v>58</v>
      </c>
      <c r="G30" t="str">
        <f t="shared" si="0"/>
        <v>PRG-MGT-BA-BBA-BA</v>
      </c>
      <c r="H30" t="s">
        <v>156</v>
      </c>
      <c r="I30" t="s">
        <v>118</v>
      </c>
    </row>
    <row r="31" spans="1:9">
      <c r="A31" t="str">
        <f>_xlfn.XLOOKUP(D31,DEPARTMENT_DATA!C$2:C$24,DEPARTMENT_DATA!A$2:A$24)</f>
        <v>FAC-MGT</v>
      </c>
      <c r="B31" t="str">
        <f>_xlfn.XLOOKUP(E31,DEPARTMENT_DATA!D$2:D$24,DEPARTMENT_DATA!B$2:B$24)</f>
        <v>MGT</v>
      </c>
      <c r="C31" t="str">
        <f>_xlfn.XLOOKUP(A31,FACULTY_DATA!$B$2:$B$9,FACULTY_DATA!$D$2:$D$9)</f>
        <v>Faculty of Management</v>
      </c>
      <c r="D31" t="s">
        <v>177</v>
      </c>
      <c r="E31" t="str">
        <f>_xlfn.XLOOKUP(D31,DEPARTMENT_DATA!$C$2:$C$24,DEPARTMENT_DATA!$D$2:$D$24)</f>
        <v>BA</v>
      </c>
      <c r="F31" t="s">
        <v>58</v>
      </c>
      <c r="G31" t="str">
        <f t="shared" si="0"/>
        <v>PRG-MGT-BA-MBA</v>
      </c>
      <c r="H31" t="s">
        <v>79</v>
      </c>
      <c r="I31" t="s">
        <v>119</v>
      </c>
    </row>
    <row r="32" spans="1:9">
      <c r="A32" t="str">
        <f>_xlfn.XLOOKUP(D32,DEPARTMENT_DATA!C$2:C$24,DEPARTMENT_DATA!A$2:A$24)</f>
        <v>FAC-MGT</v>
      </c>
      <c r="B32" t="str">
        <f>_xlfn.XLOOKUP(E32,DEPARTMENT_DATA!D$2:D$24,DEPARTMENT_DATA!B$2:B$24)</f>
        <v>MGT</v>
      </c>
      <c r="C32" t="str">
        <f>_xlfn.XLOOKUP(A32,FACULTY_DATA!$B$2:$B$9,FACULTY_DATA!$D$2:$D$9)</f>
        <v>Faculty of Management</v>
      </c>
      <c r="D32" t="s">
        <v>177</v>
      </c>
      <c r="E32" t="str">
        <f>_xlfn.XLOOKUP(D32,DEPARTMENT_DATA!$C$2:$C$24,DEPARTMENT_DATA!$D$2:$D$24)</f>
        <v>BA</v>
      </c>
      <c r="F32" t="s">
        <v>58</v>
      </c>
      <c r="G32" t="str">
        <f t="shared" si="0"/>
        <v>PRG-MGT-BA-MBA-GB</v>
      </c>
      <c r="H32" t="s">
        <v>168</v>
      </c>
      <c r="I32" t="s">
        <v>120</v>
      </c>
    </row>
    <row r="33" spans="1:9">
      <c r="A33" t="str">
        <f>_xlfn.XLOOKUP(D33,DEPARTMENT_DATA!C$2:C$24,DEPARTMENT_DATA!A$2:A$24)</f>
        <v>FAC-MGT</v>
      </c>
      <c r="B33" t="str">
        <f>_xlfn.XLOOKUP(E33,DEPARTMENT_DATA!D$2:D$24,DEPARTMENT_DATA!B$2:B$24)</f>
        <v>MGT</v>
      </c>
      <c r="C33" t="str">
        <f>_xlfn.XLOOKUP(A33,FACULTY_DATA!$B$2:$B$9,FACULTY_DATA!$D$2:$D$9)</f>
        <v>Faculty of Management</v>
      </c>
      <c r="D33" t="s">
        <v>177</v>
      </c>
      <c r="E33" t="str">
        <f>_xlfn.XLOOKUP(D33,DEPARTMENT_DATA!$C$2:$C$24,DEPARTMENT_DATA!$D$2:$D$24)</f>
        <v>BA</v>
      </c>
      <c r="F33" t="s">
        <v>58</v>
      </c>
      <c r="G33" t="str">
        <f t="shared" si="0"/>
        <v>PRG-MGT-BA-MBA-BA</v>
      </c>
      <c r="H33" t="s">
        <v>157</v>
      </c>
      <c r="I33" t="s">
        <v>121</v>
      </c>
    </row>
    <row r="34" spans="1:9">
      <c r="A34" t="str">
        <f>_xlfn.XLOOKUP(D34,DEPARTMENT_DATA!C$2:C$24,DEPARTMENT_DATA!A$2:A$24)</f>
        <v>FAC-PHR</v>
      </c>
      <c r="B34" t="str">
        <f>_xlfn.XLOOKUP(E34,DEPARTMENT_DATA!D$2:D$24,DEPARTMENT_DATA!B$2:B$24)</f>
        <v>PHR</v>
      </c>
      <c r="C34" t="str">
        <f>_xlfn.XLOOKUP(A34,FACULTY_DATA!$B$2:$B$9,FACULTY_DATA!$D$2:$D$9)</f>
        <v>Faculty of Pharmacy</v>
      </c>
      <c r="D34" t="s">
        <v>178</v>
      </c>
      <c r="E34" t="str">
        <f>_xlfn.XLOOKUP(D34,DEPARTMENT_DATA!$C$2:$C$24,DEPARTMENT_DATA!$D$2:$D$24)</f>
        <v>PH</v>
      </c>
      <c r="F34" t="s">
        <v>60</v>
      </c>
      <c r="G34" t="str">
        <f t="shared" si="0"/>
        <v>PRG-PHR-PH-BPHARM</v>
      </c>
      <c r="H34" t="s">
        <v>89</v>
      </c>
      <c r="I34" t="s">
        <v>122</v>
      </c>
    </row>
    <row r="35" spans="1:9">
      <c r="A35" t="str">
        <f>_xlfn.XLOOKUP(D35,DEPARTMENT_DATA!C$2:C$24,DEPARTMENT_DATA!A$2:A$24)</f>
        <v>FAC-PHR</v>
      </c>
      <c r="B35" t="str">
        <f>_xlfn.XLOOKUP(E35,DEPARTMENT_DATA!D$2:D$24,DEPARTMENT_DATA!B$2:B$24)</f>
        <v>PHR</v>
      </c>
      <c r="C35" t="str">
        <f>_xlfn.XLOOKUP(A35,FACULTY_DATA!$B$2:$B$9,FACULTY_DATA!$D$2:$D$9)</f>
        <v>Faculty of Pharmacy</v>
      </c>
      <c r="D35" t="s">
        <v>178</v>
      </c>
      <c r="E35" t="str">
        <f>_xlfn.XLOOKUP(D35,DEPARTMENT_DATA!$C$2:$C$24,DEPARTMENT_DATA!$D$2:$D$24)</f>
        <v>PH</v>
      </c>
      <c r="F35" t="s">
        <v>60</v>
      </c>
      <c r="G35" t="str">
        <f t="shared" si="0"/>
        <v>PRG-PHR-PH-MPHARM-PH</v>
      </c>
      <c r="H35" t="s">
        <v>158</v>
      </c>
      <c r="I35" t="s">
        <v>123</v>
      </c>
    </row>
    <row r="36" spans="1:9">
      <c r="A36" t="str">
        <f>_xlfn.XLOOKUP(D36,DEPARTMENT_DATA!C$2:C$24,DEPARTMENT_DATA!A$2:A$24)</f>
        <v>FAC-SCI</v>
      </c>
      <c r="B36" t="str">
        <f>_xlfn.XLOOKUP(E36,DEPARTMENT_DATA!D$2:D$24,DEPARTMENT_DATA!B$2:B$24)</f>
        <v>SCI</v>
      </c>
      <c r="C36" t="str">
        <f>_xlfn.XLOOKUP(A36,FACULTY_DATA!$B$2:$B$9,FACULTY_DATA!$D$2:$D$9)</f>
        <v>Faculty of Science</v>
      </c>
      <c r="D36" t="s">
        <v>179</v>
      </c>
      <c r="E36" t="str">
        <f>_xlfn.XLOOKUP(D36,DEPARTMENT_DATA!$C$2:$C$24,DEPARTMENT_DATA!$D$2:$D$24)</f>
        <v>AG</v>
      </c>
      <c r="F36" t="s">
        <v>62</v>
      </c>
      <c r="G36" t="str">
        <f t="shared" si="0"/>
        <v>PRG-SCI-AG-BSC-AG</v>
      </c>
      <c r="H36" t="s">
        <v>159</v>
      </c>
      <c r="I36" t="s">
        <v>124</v>
      </c>
    </row>
    <row r="37" spans="1:9">
      <c r="A37" t="str">
        <f>_xlfn.XLOOKUP(D37,DEPARTMENT_DATA!C$2:C$24,DEPARTMENT_DATA!A$2:A$24)</f>
        <v>FAC-SCI</v>
      </c>
      <c r="B37" t="str">
        <f>_xlfn.XLOOKUP(E37,DEPARTMENT_DATA!D$2:D$24,DEPARTMENT_DATA!B$2:B$24)</f>
        <v>SCI</v>
      </c>
      <c r="C37" t="str">
        <f>_xlfn.XLOOKUP(A37,FACULTY_DATA!$B$2:$B$9,FACULTY_DATA!$D$2:$D$9)</f>
        <v>Faculty of Science</v>
      </c>
      <c r="D37" t="s">
        <v>179</v>
      </c>
      <c r="E37" t="str">
        <f>_xlfn.XLOOKUP(D37,DEPARTMENT_DATA!$C$2:$C$24,DEPARTMENT_DATA!$D$2:$D$24)</f>
        <v>AG</v>
      </c>
      <c r="F37" t="s">
        <v>62</v>
      </c>
      <c r="G37" t="str">
        <f t="shared" si="0"/>
        <v>PRG-SCI-AG-MSC-AG</v>
      </c>
      <c r="H37" t="s">
        <v>160</v>
      </c>
      <c r="I37" t="s">
        <v>125</v>
      </c>
    </row>
    <row r="38" spans="1:9">
      <c r="A38" t="str">
        <f>_xlfn.XLOOKUP(D38,DEPARTMENT_DATA!C$2:C$24,DEPARTMENT_DATA!A$2:A$24)</f>
        <v>FAC-SCI</v>
      </c>
      <c r="B38" t="str">
        <f>_xlfn.XLOOKUP(E38,DEPARTMENT_DATA!D$2:D$24,DEPARTMENT_DATA!B$2:B$24)</f>
        <v>SCI</v>
      </c>
      <c r="C38" t="str">
        <f>_xlfn.XLOOKUP(A38,FACULTY_DATA!$B$2:$B$9,FACULTY_DATA!$D$2:$D$9)</f>
        <v>Faculty of Science</v>
      </c>
      <c r="D38" t="s">
        <v>180</v>
      </c>
      <c r="E38" t="str">
        <f>_xlfn.XLOOKUP(D38,DEPARTMENT_DATA!$C$2:$C$24,DEPARTMENT_DATA!$D$2:$D$24)</f>
        <v>FS</v>
      </c>
      <c r="F38" t="s">
        <v>63</v>
      </c>
      <c r="G38" t="str">
        <f t="shared" si="0"/>
        <v>PRG-SCI-FS-BSC-FS</v>
      </c>
      <c r="H38" t="s">
        <v>161</v>
      </c>
      <c r="I38" t="s">
        <v>126</v>
      </c>
    </row>
    <row r="39" spans="1:9">
      <c r="A39" t="str">
        <f>_xlfn.XLOOKUP(D39,DEPARTMENT_DATA!C$2:C$24,DEPARTMENT_DATA!A$2:A$24)</f>
        <v>FAC-SCI</v>
      </c>
      <c r="B39" t="str">
        <f>_xlfn.XLOOKUP(E39,DEPARTMENT_DATA!D$2:D$24,DEPARTMENT_DATA!B$2:B$24)</f>
        <v>SCI</v>
      </c>
      <c r="C39" t="str">
        <f>_xlfn.XLOOKUP(A39,FACULTY_DATA!$B$2:$B$9,FACULTY_DATA!$D$2:$D$9)</f>
        <v>Faculty of Science</v>
      </c>
      <c r="D39" t="s">
        <v>180</v>
      </c>
      <c r="E39" t="str">
        <f>_xlfn.XLOOKUP(D39,DEPARTMENT_DATA!$C$2:$C$24,DEPARTMENT_DATA!$D$2:$D$24)</f>
        <v>FS</v>
      </c>
      <c r="F39" t="s">
        <v>63</v>
      </c>
      <c r="G39" t="str">
        <f t="shared" si="0"/>
        <v>PRG-SCI-FS-MSC-FS</v>
      </c>
      <c r="H39" t="s">
        <v>162</v>
      </c>
      <c r="I39" t="s">
        <v>127</v>
      </c>
    </row>
    <row r="40" spans="1:9">
      <c r="A40" t="str">
        <f>_xlfn.XLOOKUP(D40,DEPARTMENT_DATA!C$2:C$24,DEPARTMENT_DATA!A$2:A$24)</f>
        <v>FAC-SCI</v>
      </c>
      <c r="B40" t="str">
        <f>_xlfn.XLOOKUP(E40,DEPARTMENT_DATA!D$2:D$24,DEPARTMENT_DATA!B$2:B$24)</f>
        <v>SCI</v>
      </c>
      <c r="C40" t="str">
        <f>_xlfn.XLOOKUP(A40,FACULTY_DATA!$B$2:$B$9,FACULTY_DATA!$D$2:$D$9)</f>
        <v>Faculty of Science</v>
      </c>
      <c r="D40" t="s">
        <v>181</v>
      </c>
      <c r="E40" t="str">
        <f>_xlfn.XLOOKUP(D40,DEPARTMENT_DATA!$C$2:$C$24,DEPARTMENT_DATA!$D$2:$D$24)</f>
        <v>BT</v>
      </c>
      <c r="F40" t="s">
        <v>64</v>
      </c>
      <c r="G40" t="str">
        <f t="shared" si="0"/>
        <v>PRG-SCI-BT-BSC-BT</v>
      </c>
      <c r="H40" t="s">
        <v>163</v>
      </c>
      <c r="I40" t="s">
        <v>128</v>
      </c>
    </row>
    <row r="41" spans="1:9">
      <c r="A41" t="str">
        <f>_xlfn.XLOOKUP(D41,DEPARTMENT_DATA!C$2:C$24,DEPARTMENT_DATA!A$2:A$24)</f>
        <v>FAC-SCI</v>
      </c>
      <c r="B41" t="str">
        <f>_xlfn.XLOOKUP(E41,DEPARTMENT_DATA!D$2:D$24,DEPARTMENT_DATA!B$2:B$24)</f>
        <v>ENG</v>
      </c>
      <c r="C41" t="str">
        <f>_xlfn.XLOOKUP(A41,FACULTY_DATA!$B$2:$B$9,FACULTY_DATA!$D$2:$D$9)</f>
        <v>Faculty of Science</v>
      </c>
      <c r="D41" t="s">
        <v>182</v>
      </c>
      <c r="E41" t="str">
        <f>_xlfn.XLOOKUP(D41,DEPARTMENT_DATA!$C$2:$C$24,DEPARTMENT_DATA!$D$2:$D$24)</f>
        <v>CSE</v>
      </c>
      <c r="F41" t="s">
        <v>65</v>
      </c>
      <c r="G41" t="str">
        <f t="shared" si="0"/>
        <v>PRG-ENG-CSE-BSC-CS</v>
      </c>
      <c r="H41" t="s">
        <v>164</v>
      </c>
      <c r="I41" t="s">
        <v>129</v>
      </c>
    </row>
    <row r="42" spans="1:9">
      <c r="A42" t="str">
        <f>_xlfn.XLOOKUP(D42,DEPARTMENT_DATA!C$2:C$24,DEPARTMENT_DATA!A$2:A$24)</f>
        <v>FAC-SCI</v>
      </c>
      <c r="B42" t="str">
        <f>_xlfn.XLOOKUP(E42,DEPARTMENT_DATA!D$2:D$24,DEPARTMENT_DATA!B$2:B$24)</f>
        <v>SCI</v>
      </c>
      <c r="C42" t="str">
        <f>_xlfn.XLOOKUP(A42,FACULTY_DATA!$B$2:$B$9,FACULTY_DATA!$D$2:$D$9)</f>
        <v>Faculty of Science</v>
      </c>
      <c r="D42" t="s">
        <v>183</v>
      </c>
      <c r="E42" t="str">
        <f>_xlfn.XLOOKUP(D42,DEPARTMENT_DATA!$C$2:$C$24,DEPARTMENT_DATA!$D$2:$D$24)</f>
        <v>PHY</v>
      </c>
      <c r="F42" t="s">
        <v>66</v>
      </c>
      <c r="G42" t="str">
        <f t="shared" si="0"/>
        <v>PRG-SCI-PHY-BSC-PHY</v>
      </c>
      <c r="H42" t="s">
        <v>165</v>
      </c>
      <c r="I42" t="s">
        <v>130</v>
      </c>
    </row>
    <row r="43" spans="1:9">
      <c r="A43" t="str">
        <f>_xlfn.XLOOKUP(D43,DEPARTMENT_DATA!C$2:C$24,DEPARTMENT_DATA!A$2:A$24)</f>
        <v>FAC-SCI</v>
      </c>
      <c r="B43" t="str">
        <f>_xlfn.XLOOKUP(E43,DEPARTMENT_DATA!D$2:D$24,DEPARTMENT_DATA!B$2:B$24)</f>
        <v>SCI</v>
      </c>
      <c r="C43" t="str">
        <f>_xlfn.XLOOKUP(A43,FACULTY_DATA!$B$2:$B$9,FACULTY_DATA!$D$2:$D$9)</f>
        <v>Faculty of Science</v>
      </c>
      <c r="D43" t="s">
        <v>184</v>
      </c>
      <c r="E43" t="str">
        <f>_xlfn.XLOOKUP(D43,DEPARTMENT_DATA!$C$2:$C$24,DEPARTMENT_DATA!$D$2:$D$24)</f>
        <v>CH</v>
      </c>
      <c r="F43" t="s">
        <v>67</v>
      </c>
      <c r="G43" t="str">
        <f t="shared" si="0"/>
        <v>PRG-SCI-CH-BSC-CH</v>
      </c>
      <c r="H43" t="s">
        <v>166</v>
      </c>
      <c r="I43" t="s">
        <v>131</v>
      </c>
    </row>
    <row r="44" spans="1:9">
      <c r="A44" t="str">
        <f>_xlfn.XLOOKUP(D44,DEPARTMENT_DATA!C$2:C$24,DEPARTMENT_DATA!A$2:A$24)</f>
        <v>FAC-SCI</v>
      </c>
      <c r="B44" t="str">
        <f>_xlfn.XLOOKUP(E44,DEPARTMENT_DATA!D$2:D$24,DEPARTMENT_DATA!B$2:B$24)</f>
        <v>SCI</v>
      </c>
      <c r="C44" t="str">
        <f>_xlfn.XLOOKUP(A44,FACULTY_DATA!$B$2:$B$9,FACULTY_DATA!$D$2:$D$9)</f>
        <v>Faculty of Science</v>
      </c>
      <c r="D44" t="s">
        <v>184</v>
      </c>
      <c r="E44" t="str">
        <f>_xlfn.XLOOKUP(D44,DEPARTMENT_DATA!$C$2:$C$24,DEPARTMENT_DATA!$D$2:$D$24)</f>
        <v>CH</v>
      </c>
      <c r="F44" t="s">
        <v>67</v>
      </c>
      <c r="G44" t="str">
        <f t="shared" si="0"/>
        <v>PRG-SCI-CH-MSC-CH-R</v>
      </c>
      <c r="H44" t="s">
        <v>169</v>
      </c>
      <c r="I44" t="s">
        <v>132</v>
      </c>
    </row>
    <row r="45" spans="1:9">
      <c r="A45" t="str">
        <f>_xlfn.XLOOKUP(D45,DEPARTMENT_DATA!C$2:C$24,DEPARTMENT_DATA!A$2:A$24)</f>
        <v>FAC-SCI</v>
      </c>
      <c r="B45" t="str">
        <f>_xlfn.XLOOKUP(E45,DEPARTMENT_DATA!D$2:D$24,DEPARTMENT_DATA!B$2:B$24)</f>
        <v>SCI</v>
      </c>
      <c r="C45" t="str">
        <f>_xlfn.XLOOKUP(A45,FACULTY_DATA!$B$2:$B$9,FACULTY_DATA!$D$2:$D$9)</f>
        <v>Faculty of Science</v>
      </c>
      <c r="D45" t="s">
        <v>185</v>
      </c>
      <c r="E45" t="str">
        <f>_xlfn.XLOOKUP(D45,DEPARTMENT_DATA!$C$2:$C$24,DEPARTMENT_DATA!$D$2:$D$24)</f>
        <v>MATH</v>
      </c>
      <c r="F45" t="s">
        <v>68</v>
      </c>
      <c r="G45" t="str">
        <f>"PRG-"&amp;B45&amp;"-"&amp;E45&amp;"-"&amp;H45</f>
        <v>PRG-SCI-MATH-MSC-MATH</v>
      </c>
      <c r="H45" t="s">
        <v>167</v>
      </c>
      <c r="I45" t="s">
        <v>133</v>
      </c>
    </row>
  </sheetData>
  <autoFilter ref="A1:I45" xr:uid="{F059C247-6268-4741-A32D-2349FDBDDDE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generic_format</vt:lpstr>
      <vt:lpstr>University_details</vt:lpstr>
      <vt:lpstr>FACULTY_DATA</vt:lpstr>
      <vt:lpstr>DEPARTMENT_DATA</vt:lpstr>
      <vt:lpstr>PROGRAM_DATA</vt:lpstr>
      <vt:lpstr>SPECIALIZATION_DATA</vt:lpstr>
      <vt:lpstr>rough_sheet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Swaraj Singh Rajput</cp:lastModifiedBy>
  <dcterms:created xsi:type="dcterms:W3CDTF">2015-06-05T18:17:20Z</dcterms:created>
  <dcterms:modified xsi:type="dcterms:W3CDTF">2026-03-16T09:28:37Z</dcterms:modified>
</cp:coreProperties>
</file>